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O\OneDrive\2 - SANTA TERESINHA\_2026_\"/>
    </mc:Choice>
  </mc:AlternateContent>
  <xr:revisionPtr revIDLastSave="4" documentId="11_B7AA74877421B21001626E5498227BCDFD244741" xr6:coauthVersionLast="47" xr6:coauthVersionMax="47" xr10:uidLastSave="{98B847BB-1C79-4D2F-81D8-4E642D1A5ED8}"/>
  <bookViews>
    <workbookView xWindow="-120" yWindow="-120" windowWidth="29040" windowHeight="15720" activeTab="4" xr2:uid="{00000000-000D-0000-FFFF-FFFF00000000}"/>
  </bookViews>
  <sheets>
    <sheet name="9 ANO B" sheetId="10" r:id="rId1"/>
    <sheet name="9 ANO C" sheetId="11" r:id="rId2"/>
    <sheet name="1 ANO A" sheetId="12" r:id="rId3"/>
    <sheet name="1 ANO B" sheetId="1" r:id="rId4"/>
    <sheet name="1 ANO C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4" i="1" l="1"/>
  <c r="Z25" i="1"/>
  <c r="K28" i="11"/>
  <c r="AC35" i="6" l="1"/>
  <c r="AD35" i="6" s="1"/>
  <c r="Z35" i="6"/>
  <c r="T35" i="6"/>
  <c r="AC34" i="6"/>
  <c r="AD34" i="6" s="1"/>
  <c r="Z34" i="6"/>
  <c r="T34" i="6"/>
  <c r="AC33" i="6"/>
  <c r="AD33" i="6" s="1"/>
  <c r="Z33" i="6"/>
  <c r="T33" i="6"/>
  <c r="AC32" i="6"/>
  <c r="AD32" i="6" s="1"/>
  <c r="Z32" i="6"/>
  <c r="T32" i="6"/>
  <c r="AC30" i="6"/>
  <c r="AD30" i="6" s="1"/>
  <c r="Z30" i="6"/>
  <c r="T30" i="6"/>
  <c r="AC29" i="6"/>
  <c r="AD29" i="6" s="1"/>
  <c r="Z29" i="6"/>
  <c r="T29" i="6"/>
  <c r="AC28" i="6"/>
  <c r="AD28" i="6" s="1"/>
  <c r="Z28" i="6"/>
  <c r="T28" i="6"/>
  <c r="AC27" i="6"/>
  <c r="AD27" i="6" s="1"/>
  <c r="Z27" i="6"/>
  <c r="T27" i="6"/>
  <c r="AC26" i="6"/>
  <c r="AD26" i="6" s="1"/>
  <c r="Z26" i="6"/>
  <c r="T26" i="6"/>
  <c r="AC25" i="6"/>
  <c r="AD25" i="6" s="1"/>
  <c r="Z25" i="6"/>
  <c r="T25" i="6"/>
  <c r="AC24" i="6"/>
  <c r="AD24" i="6" s="1"/>
  <c r="Z24" i="6"/>
  <c r="T24" i="6"/>
  <c r="AC23" i="6"/>
  <c r="AD23" i="6" s="1"/>
  <c r="Z23" i="6"/>
  <c r="T23" i="6"/>
  <c r="AC22" i="6"/>
  <c r="AD22" i="6" s="1"/>
  <c r="Z22" i="6"/>
  <c r="T22" i="6"/>
  <c r="AC21" i="6"/>
  <c r="AD21" i="6" s="1"/>
  <c r="Z21" i="6"/>
  <c r="T21" i="6"/>
  <c r="AC20" i="6"/>
  <c r="AD20" i="6" s="1"/>
  <c r="Z20" i="6"/>
  <c r="T20" i="6"/>
  <c r="AC19" i="6"/>
  <c r="AD19" i="6" s="1"/>
  <c r="Z19" i="6"/>
  <c r="T19" i="6"/>
  <c r="AC18" i="6"/>
  <c r="AD18" i="6" s="1"/>
  <c r="Z18" i="6"/>
  <c r="T18" i="6"/>
  <c r="AC17" i="6"/>
  <c r="AD17" i="6" s="1"/>
  <c r="Z17" i="6"/>
  <c r="T17" i="6"/>
  <c r="AC16" i="6"/>
  <c r="AD16" i="6" s="1"/>
  <c r="Z16" i="6"/>
  <c r="T16" i="6"/>
  <c r="AC15" i="6"/>
  <c r="AD15" i="6" s="1"/>
  <c r="Z15" i="6"/>
  <c r="T15" i="6"/>
  <c r="AC14" i="6"/>
  <c r="AD14" i="6" s="1"/>
  <c r="Z14" i="6"/>
  <c r="T14" i="6"/>
  <c r="AC13" i="6"/>
  <c r="AD13" i="6" s="1"/>
  <c r="Z13" i="6"/>
  <c r="T13" i="6"/>
  <c r="AC12" i="6"/>
  <c r="AD12" i="6" s="1"/>
  <c r="Z12" i="6"/>
  <c r="T12" i="6"/>
  <c r="AC11" i="6"/>
  <c r="AD11" i="6" s="1"/>
  <c r="Z11" i="6"/>
  <c r="T11" i="6"/>
  <c r="AC10" i="6"/>
  <c r="AD10" i="6" s="1"/>
  <c r="Z10" i="6"/>
  <c r="T10" i="6"/>
  <c r="AC9" i="6"/>
  <c r="AD9" i="6" s="1"/>
  <c r="Z9" i="6"/>
  <c r="T9" i="6"/>
  <c r="AC8" i="6"/>
  <c r="AD8" i="6" s="1"/>
  <c r="Z8" i="6"/>
  <c r="T8" i="6"/>
  <c r="Z39" i="1"/>
  <c r="AF39" i="1"/>
  <c r="AI39" i="1"/>
  <c r="AJ39" i="1"/>
  <c r="Z40" i="1"/>
  <c r="AF40" i="1"/>
  <c r="AI40" i="1"/>
  <c r="AJ40" i="1"/>
  <c r="Z41" i="1"/>
  <c r="AF41" i="1"/>
  <c r="AI41" i="1"/>
  <c r="AJ41" i="1"/>
  <c r="Z42" i="1"/>
  <c r="AF42" i="1"/>
  <c r="AI42" i="1"/>
  <c r="AJ42" i="1"/>
  <c r="Z43" i="1"/>
  <c r="AF43" i="1"/>
  <c r="AI43" i="1"/>
  <c r="AJ43" i="1"/>
  <c r="Z44" i="1"/>
  <c r="AF44" i="1"/>
  <c r="AI44" i="1"/>
  <c r="AJ44" i="1"/>
  <c r="Z45" i="1"/>
  <c r="AF45" i="1"/>
  <c r="AI45" i="1"/>
  <c r="AJ45" i="1"/>
  <c r="AI38" i="1"/>
  <c r="AJ38" i="1" s="1"/>
  <c r="AF38" i="1"/>
  <c r="Z38" i="1"/>
  <c r="AI37" i="1"/>
  <c r="AJ37" i="1" s="1"/>
  <c r="AF37" i="1"/>
  <c r="Z37" i="1"/>
  <c r="AI36" i="1"/>
  <c r="AJ36" i="1" s="1"/>
  <c r="AF36" i="1"/>
  <c r="Z36" i="1"/>
  <c r="AI35" i="1"/>
  <c r="AJ35" i="1" s="1"/>
  <c r="AF35" i="1"/>
  <c r="Z35" i="1"/>
  <c r="AI34" i="1"/>
  <c r="AJ34" i="1" s="1"/>
  <c r="AF34" i="1"/>
  <c r="Z34" i="1"/>
  <c r="AI33" i="1"/>
  <c r="AJ33" i="1" s="1"/>
  <c r="AF33" i="1"/>
  <c r="Z33" i="1"/>
  <c r="AI32" i="1"/>
  <c r="AJ32" i="1" s="1"/>
  <c r="AF32" i="1"/>
  <c r="Z32" i="1"/>
  <c r="AI31" i="1"/>
  <c r="AJ31" i="1" s="1"/>
  <c r="AF31" i="1"/>
  <c r="Z31" i="1"/>
  <c r="AI30" i="1"/>
  <c r="AJ30" i="1" s="1"/>
  <c r="AF30" i="1"/>
  <c r="Z30" i="1"/>
  <c r="AI29" i="1"/>
  <c r="AJ29" i="1" s="1"/>
  <c r="AF29" i="1"/>
  <c r="Z29" i="1"/>
  <c r="AI28" i="1"/>
  <c r="AJ28" i="1" s="1"/>
  <c r="AF28" i="1"/>
  <c r="Z28" i="1"/>
  <c r="AI27" i="1"/>
  <c r="AJ27" i="1" s="1"/>
  <c r="AF27" i="1"/>
  <c r="Z27" i="1"/>
  <c r="AI26" i="1"/>
  <c r="AJ26" i="1" s="1"/>
  <c r="AF26" i="1"/>
  <c r="Z26" i="1"/>
  <c r="AI25" i="1"/>
  <c r="AJ25" i="1" s="1"/>
  <c r="AF25" i="1"/>
  <c r="AI24" i="1"/>
  <c r="AJ24" i="1" s="1"/>
  <c r="AF24" i="1"/>
  <c r="AI23" i="1"/>
  <c r="AJ23" i="1" s="1"/>
  <c r="AF23" i="1"/>
  <c r="Z23" i="1"/>
  <c r="AI22" i="1"/>
  <c r="AJ22" i="1" s="1"/>
  <c r="AF22" i="1"/>
  <c r="Z22" i="1"/>
  <c r="AI21" i="1"/>
  <c r="AJ21" i="1" s="1"/>
  <c r="AF21" i="1"/>
  <c r="Z21" i="1"/>
  <c r="AI20" i="1"/>
  <c r="AJ20" i="1" s="1"/>
  <c r="AF20" i="1"/>
  <c r="Z20" i="1"/>
  <c r="AI19" i="1"/>
  <c r="AJ19" i="1" s="1"/>
  <c r="AF19" i="1"/>
  <c r="Z19" i="1"/>
  <c r="AI18" i="1"/>
  <c r="AJ18" i="1" s="1"/>
  <c r="AF18" i="1"/>
  <c r="Z18" i="1"/>
  <c r="AI17" i="1"/>
  <c r="AJ17" i="1" s="1"/>
  <c r="AF17" i="1"/>
  <c r="Z17" i="1"/>
  <c r="AI16" i="1"/>
  <c r="AJ16" i="1" s="1"/>
  <c r="AF16" i="1"/>
  <c r="Z16" i="1"/>
  <c r="AI15" i="1"/>
  <c r="AJ15" i="1" s="1"/>
  <c r="AF15" i="1"/>
  <c r="Z15" i="1"/>
  <c r="AI14" i="1"/>
  <c r="AJ14" i="1" s="1"/>
  <c r="AF14" i="1"/>
  <c r="Z14" i="1"/>
  <c r="AI13" i="1"/>
  <c r="AJ13" i="1" s="1"/>
  <c r="AF13" i="1"/>
  <c r="Z13" i="1"/>
  <c r="AI12" i="1"/>
  <c r="AJ12" i="1" s="1"/>
  <c r="AF12" i="1"/>
  <c r="Z12" i="1"/>
  <c r="AI11" i="1"/>
  <c r="AJ11" i="1" s="1"/>
  <c r="AF11" i="1"/>
  <c r="Z11" i="1"/>
  <c r="AI10" i="1"/>
  <c r="AJ10" i="1" s="1"/>
  <c r="AF10" i="1"/>
  <c r="Z10" i="1"/>
  <c r="AI9" i="1"/>
  <c r="AJ9" i="1" s="1"/>
  <c r="AF9" i="1"/>
  <c r="Z9" i="1"/>
  <c r="AI8" i="1"/>
  <c r="AJ8" i="1" s="1"/>
  <c r="AF8" i="1"/>
  <c r="Z8" i="1"/>
  <c r="AC8" i="12"/>
  <c r="AF9" i="12"/>
  <c r="AG9" i="12" s="1"/>
  <c r="AF10" i="12"/>
  <c r="AG10" i="12" s="1"/>
  <c r="AF11" i="12"/>
  <c r="AG11" i="12" s="1"/>
  <c r="AF12" i="12"/>
  <c r="AG12" i="12" s="1"/>
  <c r="AF13" i="12"/>
  <c r="AG13" i="12" s="1"/>
  <c r="AF14" i="12"/>
  <c r="AG14" i="12" s="1"/>
  <c r="AF15" i="12"/>
  <c r="AG15" i="12" s="1"/>
  <c r="AF16" i="12"/>
  <c r="AG16" i="12" s="1"/>
  <c r="AF17" i="12"/>
  <c r="AG17" i="12" s="1"/>
  <c r="AF18" i="12"/>
  <c r="AG18" i="12" s="1"/>
  <c r="AF19" i="12"/>
  <c r="AG19" i="12" s="1"/>
  <c r="AF20" i="12"/>
  <c r="AG20" i="12" s="1"/>
  <c r="AF21" i="12"/>
  <c r="AG21" i="12" s="1"/>
  <c r="AF22" i="12"/>
  <c r="AG22" i="12" s="1"/>
  <c r="AF23" i="12"/>
  <c r="AG23" i="12" s="1"/>
  <c r="AF24" i="12"/>
  <c r="AG24" i="12" s="1"/>
  <c r="AF25" i="12"/>
  <c r="AG25" i="12" s="1"/>
  <c r="AF26" i="12"/>
  <c r="AG26" i="12" s="1"/>
  <c r="AF27" i="12"/>
  <c r="AG27" i="12" s="1"/>
  <c r="AF28" i="12"/>
  <c r="AG28" i="12" s="1"/>
  <c r="AF29" i="12"/>
  <c r="AG29" i="12" s="1"/>
  <c r="AF30" i="12"/>
  <c r="AG30" i="12" s="1"/>
  <c r="AF31" i="12"/>
  <c r="AG31" i="12" s="1"/>
  <c r="AF32" i="12"/>
  <c r="AG32" i="12" s="1"/>
  <c r="AF33" i="12"/>
  <c r="AG33" i="12" s="1"/>
  <c r="AF34" i="12"/>
  <c r="AG34" i="12" s="1"/>
  <c r="AF35" i="12"/>
  <c r="AG35" i="12" s="1"/>
  <c r="AF36" i="12"/>
  <c r="AG36" i="12" s="1"/>
  <c r="AF37" i="12"/>
  <c r="AG37" i="12" s="1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AF8" i="12"/>
  <c r="W8" i="12"/>
  <c r="AG8" i="12" l="1"/>
  <c r="AF38" i="12"/>
  <c r="AG38" i="12" s="1"/>
  <c r="AD9" i="10" l="1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AE30" i="10" l="1"/>
  <c r="AE28" i="10"/>
  <c r="AE27" i="10"/>
  <c r="AE31" i="10"/>
  <c r="AE29" i="10"/>
  <c r="AE25" i="10"/>
  <c r="AE22" i="10"/>
  <c r="AE23" i="10"/>
  <c r="AE26" i="10"/>
  <c r="AE21" i="10"/>
  <c r="AE15" i="10"/>
  <c r="AE20" i="10"/>
  <c r="AE19" i="10"/>
  <c r="AE16" i="10"/>
  <c r="AE14" i="10"/>
  <c r="AE10" i="10"/>
  <c r="AE11" i="10"/>
  <c r="AE9" i="10"/>
  <c r="AE33" i="10"/>
  <c r="AE32" i="10"/>
  <c r="AE24" i="10"/>
  <c r="AE17" i="10"/>
  <c r="AE18" i="10"/>
  <c r="AE13" i="10"/>
  <c r="AE12" i="10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9" i="11"/>
  <c r="Z30" i="11"/>
  <c r="Z31" i="11"/>
  <c r="Z32" i="11"/>
  <c r="Z33" i="11"/>
  <c r="Z34" i="11"/>
  <c r="Z35" i="11"/>
  <c r="Z36" i="11"/>
  <c r="Z37" i="11"/>
  <c r="Z38" i="11"/>
  <c r="Z39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9" i="11"/>
  <c r="U30" i="11"/>
  <c r="U31" i="11"/>
  <c r="U32" i="11"/>
  <c r="U33" i="11"/>
  <c r="U34" i="11"/>
  <c r="U35" i="11"/>
  <c r="U36" i="11"/>
  <c r="U37" i="11"/>
  <c r="U38" i="11"/>
  <c r="U39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9" i="11"/>
  <c r="P30" i="11"/>
  <c r="P31" i="11"/>
  <c r="P32" i="11"/>
  <c r="P33" i="11"/>
  <c r="P34" i="11"/>
  <c r="P35" i="11"/>
  <c r="P36" i="11"/>
  <c r="P37" i="11"/>
  <c r="P38" i="11"/>
  <c r="P39" i="11"/>
  <c r="K9" i="11"/>
  <c r="K10" i="11"/>
  <c r="K11" i="11"/>
  <c r="K12" i="11"/>
  <c r="K13" i="11"/>
  <c r="K14" i="11"/>
  <c r="K15" i="11"/>
  <c r="AA15" i="11" s="1"/>
  <c r="K16" i="11"/>
  <c r="K17" i="11"/>
  <c r="K18" i="11"/>
  <c r="AA18" i="11" s="1"/>
  <c r="K19" i="11"/>
  <c r="K20" i="11"/>
  <c r="K21" i="11"/>
  <c r="K22" i="11"/>
  <c r="AA22" i="11" s="1"/>
  <c r="K23" i="11"/>
  <c r="AA23" i="11" s="1"/>
  <c r="K24" i="11"/>
  <c r="K25" i="11"/>
  <c r="K26" i="11"/>
  <c r="AA26" i="11" s="1"/>
  <c r="K27" i="11"/>
  <c r="K29" i="11"/>
  <c r="K30" i="11"/>
  <c r="K31" i="11"/>
  <c r="AA31" i="11" s="1"/>
  <c r="K32" i="11"/>
  <c r="AA32" i="11" s="1"/>
  <c r="K33" i="11"/>
  <c r="K34" i="11"/>
  <c r="K35" i="11"/>
  <c r="AA35" i="11" s="1"/>
  <c r="K36" i="11"/>
  <c r="AA36" i="11" s="1"/>
  <c r="K37" i="11"/>
  <c r="K38" i="11"/>
  <c r="K39" i="11"/>
  <c r="AA11" i="11" l="1"/>
  <c r="AA9" i="11"/>
  <c r="AA10" i="11"/>
  <c r="AA12" i="11"/>
  <c r="AA14" i="11"/>
  <c r="AA16" i="11"/>
  <c r="AA13" i="11"/>
  <c r="AA17" i="11"/>
  <c r="AA20" i="11"/>
  <c r="AA19" i="11"/>
  <c r="AA21" i="11"/>
  <c r="AA24" i="11"/>
  <c r="AA25" i="11"/>
  <c r="AA30" i="11"/>
  <c r="AA29" i="11"/>
  <c r="AA27" i="11"/>
  <c r="AA33" i="11"/>
  <c r="AA34" i="11"/>
  <c r="AA38" i="11"/>
  <c r="AA37" i="11"/>
  <c r="AA39" i="11"/>
  <c r="Z8" i="11"/>
  <c r="U8" i="11"/>
  <c r="P8" i="11"/>
  <c r="K8" i="11"/>
  <c r="AA8" i="11" s="1"/>
  <c r="AD37" i="10"/>
  <c r="AD38" i="10"/>
  <c r="AD39" i="10"/>
  <c r="AD40" i="10"/>
  <c r="Y40" i="10"/>
  <c r="AE34" i="10"/>
  <c r="AE35" i="10"/>
  <c r="AE36" i="10"/>
  <c r="AE37" i="10"/>
  <c r="AE38" i="10"/>
  <c r="AE39" i="10"/>
  <c r="O40" i="10"/>
  <c r="AD8" i="10"/>
  <c r="T8" i="10"/>
  <c r="O8" i="10"/>
  <c r="Y8" i="10"/>
  <c r="AE40" i="10" l="1"/>
  <c r="AE8" i="10"/>
</calcChain>
</file>

<file path=xl/sharedStrings.xml><?xml version="1.0" encoding="utf-8"?>
<sst xmlns="http://schemas.openxmlformats.org/spreadsheetml/2006/main" count="404" uniqueCount="234">
  <si>
    <t>CONTROLE DE NOTAS - 1º BIMESTRE</t>
  </si>
  <si>
    <t>9AB</t>
  </si>
  <si>
    <t>MENSAL</t>
  </si>
  <si>
    <t>BIMESTRAL</t>
  </si>
  <si>
    <t>EC + MF (2,5)</t>
  </si>
  <si>
    <t>SUPLEMENTAR (2,5)</t>
  </si>
  <si>
    <t>EUREKA (2,5)</t>
  </si>
  <si>
    <t>3º NOTA</t>
  </si>
  <si>
    <t>NQP e NCP 12/01</t>
  </si>
  <si>
    <t>p. 11 e 12 15/01</t>
  </si>
  <si>
    <t>p. 15 e 16 20/01</t>
  </si>
  <si>
    <t>p. 24 e 25 27/01</t>
  </si>
  <si>
    <t>p. 28 a 32  29/01</t>
  </si>
  <si>
    <t>p. 32 a 34 02/02</t>
  </si>
  <si>
    <t>p. 37 03/02</t>
  </si>
  <si>
    <t>p. 38 a 42 10/02</t>
  </si>
  <si>
    <t>nota</t>
  </si>
  <si>
    <t>Cap 1 26/01</t>
  </si>
  <si>
    <t>Cap 2</t>
  </si>
  <si>
    <t>Cap 3</t>
  </si>
  <si>
    <t>Cap 4</t>
  </si>
  <si>
    <t>Cap 1</t>
  </si>
  <si>
    <t>Acompanhamento</t>
  </si>
  <si>
    <t>Nº</t>
  </si>
  <si>
    <t>Código</t>
  </si>
  <si>
    <t>ALUNO</t>
  </si>
  <si>
    <t>ÁGATHA YOHANNA DANTAS SANTIAGO</t>
  </si>
  <si>
    <t>AMANDHA BIANCA SOUSA BRINGEL</t>
  </si>
  <si>
    <t>ANA BEATRIZ RORIZ G. FERRAZ</t>
  </si>
  <si>
    <t>ANA LAURA FREGONA BARBALHO</t>
  </si>
  <si>
    <t>ANA LIVIA PAIVA CHAVES</t>
  </si>
  <si>
    <t>F</t>
  </si>
  <si>
    <t>ARTHUR RODRIGUES DE LIMA</t>
  </si>
  <si>
    <t>DAVI RODRIGUES TEIXEIRA</t>
  </si>
  <si>
    <t>ENZO GABRIEL CARDOSO FERREIRA</t>
  </si>
  <si>
    <t>GABRIEL ROCHA SALIBA MELO</t>
  </si>
  <si>
    <t>GABRIELA BRAGA NOVAES DINIZ DE AMORIM</t>
  </si>
  <si>
    <t>GIOVANNA CHAVES ARAUJO RAPOSO</t>
  </si>
  <si>
    <t>HELENA ROCHA RICARTE ROLIM</t>
  </si>
  <si>
    <t>ICARO LAEL DANTAS VIEIRA</t>
  </si>
  <si>
    <t>ISABELA CRUZ MUINOS</t>
  </si>
  <si>
    <t>ISABELLA GONCALVES BORGES</t>
  </si>
  <si>
    <t>ISADORA MELO M. DE OLIVEIRA</t>
  </si>
  <si>
    <t>JOSE CAIO DINIZ COSTA</t>
  </si>
  <si>
    <t>JOAO MENEZES SANTANA JUNIOR</t>
  </si>
  <si>
    <t>JULIA ANDRADE PEREIRA</t>
  </si>
  <si>
    <t>LARA LADEIA ZAVARIZE BARACHO</t>
  </si>
  <si>
    <t>LAURA BANDEIRA MACIEL LOPES</t>
  </si>
  <si>
    <t>MARCO ANTONIO BRITO RIVERO</t>
  </si>
  <si>
    <t>MARIA CATARINE SANTOS ALENCAR</t>
  </si>
  <si>
    <t>MARIA LIS LUCIANO MACEDO</t>
  </si>
  <si>
    <t>MARIA LUIZA SANTOS C. PACHECO</t>
  </si>
  <si>
    <t>MARIANNA MARIA MORAIS MAIA</t>
  </si>
  <si>
    <t>MARINNA CAVALCANTI DE BRITTO</t>
  </si>
  <si>
    <t>MATEUS ALVES GUERRA</t>
  </si>
  <si>
    <t>OLGA JALES DE LIRA</t>
  </si>
  <si>
    <t>RAFAELA HAMADA BARROS GUERRA</t>
  </si>
  <si>
    <t>RAFAELLA CARVALHO BRANCO MOTA</t>
  </si>
  <si>
    <t>RAFISA DINIZ CALIXTO</t>
  </si>
  <si>
    <t>SAULO AUGUSTO VALE BISPO</t>
  </si>
  <si>
    <t>Anotações</t>
  </si>
  <si>
    <t>9AC</t>
  </si>
  <si>
    <t>LIVRO (2,5)</t>
  </si>
  <si>
    <t>p. 6 e 7 15/01</t>
  </si>
  <si>
    <t>p. 25 22/01</t>
  </si>
  <si>
    <t>p. 28 a 32 29/01</t>
  </si>
  <si>
    <t>BERNARDO LOPES ABREU STEINMETZ</t>
  </si>
  <si>
    <t>CECILIA BONFIM BASTOS</t>
  </si>
  <si>
    <t>CECÍLIA LACERDA JÁCOME SANTANA</t>
  </si>
  <si>
    <t>CECILIA FORMENTINE COSTA</t>
  </si>
  <si>
    <t>DANIEL DE SOUZA SALES</t>
  </si>
  <si>
    <t>DOUGLAS LOPES DE ASEVEDO</t>
  </si>
  <si>
    <t>EDIVAL LUCAS BATISTA SOUZA</t>
  </si>
  <si>
    <t>EDUARDA BORGES MONTEIRO</t>
  </si>
  <si>
    <t>FABIANNO LOPES PONCE</t>
  </si>
  <si>
    <t>GEOVANNA LIMA DE OLIVEIRA</t>
  </si>
  <si>
    <t>GUSTAVO DAMAS HOLANDA ASSUNCAO</t>
  </si>
  <si>
    <t>GUSTAVO MENEZES GUIMARAES</t>
  </si>
  <si>
    <t>ISABELA CUNHA BEZERRA</t>
  </si>
  <si>
    <t>ISABELA SANTOS MOTA E SILVA</t>
  </si>
  <si>
    <t>JANDUI LOPES DA SILVA NETO</t>
  </si>
  <si>
    <t>JOÃO PEDRO ROSAS PINHO</t>
  </si>
  <si>
    <t>JOAQUIM DE MELO VASCONCELOS</t>
  </si>
  <si>
    <t>JORGE VIEIRA CARDOSO</t>
  </si>
  <si>
    <t>KAMILA ALVES GUIMARAES</t>
  </si>
  <si>
    <t>LORRAN ABREU ARAUJO</t>
  </si>
  <si>
    <t>LORENZO</t>
  </si>
  <si>
    <t>LUÍSA CRISTINA RESPLANDES PACHÊCO</t>
  </si>
  <si>
    <t>MARIA CECÍLIA COELHO QUEIROZ</t>
  </si>
  <si>
    <t>MARIA HELENA ARAUJO GOMES VIANA</t>
  </si>
  <si>
    <t>MATEUS BECKER GARCIA</t>
  </si>
  <si>
    <t>NYCOLE DA SILVA COSTA</t>
  </si>
  <si>
    <t>RAIMUNDO VICTOR UCHOA PEREIRA</t>
  </si>
  <si>
    <t>RUTH OHANNA BARRETO SILVA E SILVA</t>
  </si>
  <si>
    <t>SABRINA LACERDA CUNHA</t>
  </si>
  <si>
    <t>VALENTINA DE SANTANA ARAUJO SILVA</t>
  </si>
  <si>
    <t>VALENTINA LEMES MELLADO</t>
  </si>
  <si>
    <t>VALENTINA MAIA RIGO GUIMARAES</t>
  </si>
  <si>
    <t xml:space="preserve"> CONTROLE DE NOTAS - 1º BIMESTRE</t>
  </si>
  <si>
    <t>1AA</t>
  </si>
  <si>
    <t>LIVRO (5,0)</t>
  </si>
  <si>
    <t>ONLINE (3,0)</t>
  </si>
  <si>
    <t>ENEM (2,0)</t>
  </si>
  <si>
    <t>p. 11 e 18</t>
  </si>
  <si>
    <t>Cap 01</t>
  </si>
  <si>
    <t>Tópico 1</t>
  </si>
  <si>
    <t>p. 31 e 37 05/02</t>
  </si>
  <si>
    <t>Cap 02</t>
  </si>
  <si>
    <t>Tópico 2</t>
  </si>
  <si>
    <t>p. 50 e 57 05/02</t>
  </si>
  <si>
    <t>Cap 03</t>
  </si>
  <si>
    <t>Tópicp 3</t>
  </si>
  <si>
    <t>Cap 04</t>
  </si>
  <si>
    <t>Tópico 4</t>
  </si>
  <si>
    <t>Cap 05</t>
  </si>
  <si>
    <t>Tópico 5</t>
  </si>
  <si>
    <t>Cap 06</t>
  </si>
  <si>
    <t>Cap 6</t>
  </si>
  <si>
    <t>Tópico 6</t>
  </si>
  <si>
    <t>MÉDIA</t>
  </si>
  <si>
    <t>Livro 1</t>
  </si>
  <si>
    <t>Livro 2</t>
  </si>
  <si>
    <t>ONLINE</t>
  </si>
  <si>
    <t>ADRIA NICOLLE BUENO PEREIRA</t>
  </si>
  <si>
    <t>ALICIA CRUZ MUINOS</t>
  </si>
  <si>
    <t>ANA LUISA CARVALHO REGO</t>
  </si>
  <si>
    <t>ANNA SOFIA AGUIAR CARNEIRO SILVA</t>
  </si>
  <si>
    <t>ANNE MANUELLA DE LIMA OLIVEIRA</t>
  </si>
  <si>
    <t>ANTONIO FELIPE DA SILVA FERREIRA</t>
  </si>
  <si>
    <t>BEATRIZ ANDREA CARVALHO CARDOSO</t>
  </si>
  <si>
    <t>ENZO NASCIMENTO ALENCAR</t>
  </si>
  <si>
    <t>ENZZO ALENCAR DE LIMA DUARTE</t>
  </si>
  <si>
    <t>GABRIEL SOARES MESQUITA</t>
  </si>
  <si>
    <t>GABRIEL VERAS GOMES</t>
  </si>
  <si>
    <t>GABRIELA DE LIMA OLIVEIRA</t>
  </si>
  <si>
    <t>GEOVANNA KARIEN SALES DE SOUSA</t>
  </si>
  <si>
    <t>ISABELLA CARVALHO SOUSA FERREIRA</t>
  </si>
  <si>
    <t>JOAO LUCAS RAMOS DA SILVA</t>
  </si>
  <si>
    <t>JOAO PAULO F. M. DE S. BARBOSA</t>
  </si>
  <si>
    <t>JULIA CASTRO BARBOSA DE OLIVEIRA</t>
  </si>
  <si>
    <t>JULIA SOPHIA PEREIRA DA SILVA</t>
  </si>
  <si>
    <t>LARA VITORIA MELO BARBOSA ALMEIDA</t>
  </si>
  <si>
    <t>LORENZO HOMOBONO BEZERRA</t>
  </si>
  <si>
    <t>LUIZ GUYLHERME CARDOSO LIMA</t>
  </si>
  <si>
    <t>MARIA JULIA LIMA FERREIRA</t>
  </si>
  <si>
    <t>MARIA LUIZA CAVALCANTE MARINS</t>
  </si>
  <si>
    <t>MARIA LUIZA DOS SANTOS SILVA</t>
  </si>
  <si>
    <t>MARIA LUIZA MACHADO DE JESUS</t>
  </si>
  <si>
    <t>MARIANA CARVALHO BEZERRA</t>
  </si>
  <si>
    <t>MELINA SILVA DE FARIAS</t>
  </si>
  <si>
    <t>PAULO VITOR PEREIRA DA SILVA</t>
  </si>
  <si>
    <t>RAYRA ROQUE DA SILVA ALVES</t>
  </si>
  <si>
    <t>SARA LAIS SILVA LIMA</t>
  </si>
  <si>
    <t>VALENTINA MELO BUDEL</t>
  </si>
  <si>
    <t>1AB</t>
  </si>
  <si>
    <t xml:space="preserve">p. 31 e 37 </t>
  </si>
  <si>
    <t>Módulo 2</t>
  </si>
  <si>
    <t>Cap 03 05/02</t>
  </si>
  <si>
    <t>Tópico 03</t>
  </si>
  <si>
    <t>Cap 07</t>
  </si>
  <si>
    <t>Tópico 7</t>
  </si>
  <si>
    <t>Cap 08</t>
  </si>
  <si>
    <t>ALEX VITTOR VASCONCELOS VIANA</t>
  </si>
  <si>
    <t>ALICE BRITO GABY ROCHA</t>
  </si>
  <si>
    <t>ALYA BONFIM DE FREITAS BEZERRA</t>
  </si>
  <si>
    <t>ANA GABRIELA REGO DANTAS</t>
  </si>
  <si>
    <t>ANA LUIZA LIMA MARTINS</t>
  </si>
  <si>
    <t>ANA SOFIA LIMA CUTRIM</t>
  </si>
  <si>
    <t>BRUNA REBECA MILHOMEM SOARES</t>
  </si>
  <si>
    <t>CARLOS EDUARDO BARROS PAZ</t>
  </si>
  <si>
    <t>CECILIA DE MARIA JESUS CANTINHO</t>
  </si>
  <si>
    <t>DAVI EMANUEL GOMES DOS SANTOS</t>
  </si>
  <si>
    <t>EDUARDA CHAVES SANTOS DEL BEL</t>
  </si>
  <si>
    <t>EDUARDO ROCHA NOVAES ANJO</t>
  </si>
  <si>
    <t>ELIZEU VITORINO PRIMO NETO</t>
  </si>
  <si>
    <t xml:space="preserve">ISADORA NASCIMENTO PEREIRA CARVALHO </t>
  </si>
  <si>
    <t xml:space="preserve">IZABELA MELO AMARAL </t>
  </si>
  <si>
    <t xml:space="preserve">JOANA LIZ DA CRUZ CUTRIM </t>
  </si>
  <si>
    <t xml:space="preserve">JOAO CASTRO LACROIX </t>
  </si>
  <si>
    <t xml:space="preserve">JOAO LUCAS CARVALHO DE MOURA NASCIMENTO </t>
  </si>
  <si>
    <t>JULIA LIMA DE OLIVEIRA</t>
  </si>
  <si>
    <t xml:space="preserve">JULIA MENDES DOS SANTOS </t>
  </si>
  <si>
    <t xml:space="preserve">JULIANNA CRISTINA BARBOSA BAIANO </t>
  </si>
  <si>
    <t xml:space="preserve">LARA MILHOMEM BRAGA </t>
  </si>
  <si>
    <t>LARISSA LEMBIS SUSIN</t>
  </si>
  <si>
    <t xml:space="preserve">LAURA ARAUJO LIRA </t>
  </si>
  <si>
    <t xml:space="preserve">LUCAS DALLA LIBERA RÊGO DE MEDEIROS </t>
  </si>
  <si>
    <t xml:space="preserve">MARCO TULIO LIMA MALHEIROS </t>
  </si>
  <si>
    <t xml:space="preserve">MARIA CLARA MALAQUIAS DA CRUZ </t>
  </si>
  <si>
    <t xml:space="preserve">MARIA LUIZA ROCHA NOVAES CAIRES </t>
  </si>
  <si>
    <t xml:space="preserve">MIGUEL DINIZ MENDES </t>
  </si>
  <si>
    <t xml:space="preserve">MIRELA RANGEL BARROS </t>
  </si>
  <si>
    <t xml:space="preserve">PEDRO HENRIQUE SANTOS BARROS </t>
  </si>
  <si>
    <t>PEDRO LUCAS DA ROCHA FONSECA</t>
  </si>
  <si>
    <t>RAFAELA FLORIDI PORCIONATO</t>
  </si>
  <si>
    <t xml:space="preserve">RAFAELA MARIA ARAÚJO PEREIRA </t>
  </si>
  <si>
    <t xml:space="preserve">RAFAELA MELO REIS </t>
  </si>
  <si>
    <t xml:space="preserve">RAPHAELA FREITAS DIOGO MORAES </t>
  </si>
  <si>
    <t xml:space="preserve">RAQUEL LIMA ARAUJO </t>
  </si>
  <si>
    <t xml:space="preserve">RODRIGO FERRARI LOPES </t>
  </si>
  <si>
    <t>1AC</t>
  </si>
  <si>
    <t>p. 11 e 18 26/01</t>
  </si>
  <si>
    <t>p. 31 e 37 26/01</t>
  </si>
  <si>
    <t>p. 50 e 58 02/02</t>
  </si>
  <si>
    <t>Tópico 3</t>
  </si>
  <si>
    <t>ANA JULIA ARAUJO BONFIM</t>
  </si>
  <si>
    <t>ANA LIZ CARDOSO FREITAS</t>
  </si>
  <si>
    <t>ANA LUIZA TEIXEIRA CARNEIRO</t>
  </si>
  <si>
    <t>ANNA BEATRIZ CASIMIRO COSTA DE SA</t>
  </si>
  <si>
    <t xml:space="preserve">ANNA LARISSA WOUB BEZERRA DOS SANTOS </t>
  </si>
  <si>
    <t xml:space="preserve">ARTHUR REIS GUIMARÃES </t>
  </si>
  <si>
    <t xml:space="preserve">ARTUR AGUIAR SOUSA </t>
  </si>
  <si>
    <t xml:space="preserve">AUGUSTO CAVALCANTE ALENCAR </t>
  </si>
  <si>
    <t xml:space="preserve">DALTON HOLANDA DOURADO </t>
  </si>
  <si>
    <t xml:space="preserve">DAVI ELIZON LIMA MEDRADO </t>
  </si>
  <si>
    <t xml:space="preserve">EMANUEL DAVI NASCIMENTO COSTA </t>
  </si>
  <si>
    <t xml:space="preserve">HEITOR DOS REIS MILHOMEM MIRANDA </t>
  </si>
  <si>
    <t>HENRIQUE FRANCO PEREIRA</t>
  </si>
  <si>
    <t xml:space="preserve">JAIME GABRIEL DE SOUSA LOPES DE MENESES NETO </t>
  </si>
  <si>
    <t xml:space="preserve">JOAO PEDRO RODRIGUES TEIXEIRA DE SOUSA </t>
  </si>
  <si>
    <t xml:space="preserve">JOÃO PEDRO SILVA COSTA </t>
  </si>
  <si>
    <t xml:space="preserve">JOAO RICARDO SILVA PLACIDO </t>
  </si>
  <si>
    <t xml:space="preserve">JULIAN VIEIRA SAMPAIO </t>
  </si>
  <si>
    <t>KIVENA MABELI SOUSA PONTES</t>
  </si>
  <si>
    <t>LUIZ GUILHERME PEREIRA REIS ROCHA</t>
  </si>
  <si>
    <t xml:space="preserve">MARCELO PORTO CUNHA TINTO </t>
  </si>
  <si>
    <t xml:space="preserve">MARINA MILHOMEM ABREU CRUZ </t>
  </si>
  <si>
    <t xml:space="preserve">PARIS HERNANDEZ FERNANDES DE OLIVEIRA </t>
  </si>
  <si>
    <t>PEDRO ISAAC SANTANA AGUAIR</t>
  </si>
  <si>
    <t xml:space="preserve"> </t>
  </si>
  <si>
    <t xml:space="preserve">SAMUEL ALMEIDA COSTA SEGUNDO </t>
  </si>
  <si>
    <t xml:space="preserve">TARSO ARRUDA DIAS </t>
  </si>
  <si>
    <t xml:space="preserve">VALDO BERTOLDO LIMA NETO </t>
  </si>
  <si>
    <t>VINICIUS OLIVER MARTINS NUNES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</si>
</sst>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"/>
  </numFmts>
  <fonts count="10"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sz val="5.5"/>
      <color theme="1"/>
      <name val="Tahoma"/>
      <family val="2"/>
    </font>
    <font>
      <sz val="5"/>
      <color theme="1"/>
      <name val="Tahoma"/>
      <family val="2"/>
    </font>
    <font>
      <b/>
      <sz val="20"/>
      <color theme="1"/>
      <name val="Tahoma"/>
      <family val="2"/>
    </font>
    <font>
      <sz val="20"/>
      <color theme="1"/>
      <name val="Tahoma"/>
      <family val="2"/>
    </font>
    <font>
      <sz val="9"/>
      <color rgb="FF000000"/>
      <name val="Tahoma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/>
      <top/>
      <bottom/>
      <diagonal/>
    </border>
  </borders>
  <cellStyleXfs count="5">
    <xf numFmtId="0" fontId="0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</cellStyleXfs>
  <cellXfs count="116">
    <xf numFmtId="0" fontId="0" fillId="0" borderId="0" xfId="0"/>
    <xf numFmtId="164" fontId="1" fillId="0" borderId="2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5" fillId="0" borderId="14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0" borderId="30" xfId="0" applyBorder="1"/>
    <xf numFmtId="0" fontId="0" fillId="0" borderId="31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1" fillId="2" borderId="5" xfId="0" applyNumberFormat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165" fontId="1" fillId="0" borderId="5" xfId="0" applyNumberFormat="1" applyFont="1" applyBorder="1" applyAlignment="1">
      <alignment horizontal="left" vertical="center"/>
    </xf>
    <xf numFmtId="0" fontId="9" fillId="0" borderId="5" xfId="4" applyFont="1" applyBorder="1" applyAlignment="1">
      <alignment horizontal="left" vertical="center"/>
    </xf>
    <xf numFmtId="165" fontId="1" fillId="0" borderId="5" xfId="0" applyNumberFormat="1" applyFont="1" applyBorder="1" applyAlignment="1">
      <alignment vertical="center"/>
    </xf>
    <xf numFmtId="165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0" fillId="0" borderId="0" xfId="0" applyBorder="1"/>
    <xf numFmtId="165" fontId="1" fillId="0" borderId="14" xfId="0" applyNumberFormat="1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0" fillId="0" borderId="0" xfId="0" applyNumberFormat="1"/>
    <xf numFmtId="0" fontId="4" fillId="0" borderId="1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 textRotation="90" wrapText="1"/>
    </xf>
    <xf numFmtId="0" fontId="1" fillId="0" borderId="25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1" fillId="0" borderId="23" xfId="0" applyFont="1" applyBorder="1" applyAlignment="1">
      <alignment horizontal="center" vertical="center" textRotation="90" wrapText="1"/>
    </xf>
    <xf numFmtId="0" fontId="1" fillId="0" borderId="26" xfId="0" applyFont="1" applyBorder="1" applyAlignment="1">
      <alignment horizontal="center" vertical="center" textRotation="90" wrapText="1"/>
    </xf>
    <xf numFmtId="0" fontId="1" fillId="0" borderId="24" xfId="0" applyFont="1" applyBorder="1" applyAlignment="1">
      <alignment horizontal="center" vertical="center" textRotation="90" wrapText="1"/>
    </xf>
    <xf numFmtId="0" fontId="1" fillId="3" borderId="19" xfId="0" applyFont="1" applyFill="1" applyBorder="1" applyAlignment="1">
      <alignment horizontal="center" vertical="center" textRotation="90" wrapText="1"/>
    </xf>
    <xf numFmtId="0" fontId="1" fillId="3" borderId="25" xfId="0" applyFont="1" applyFill="1" applyBorder="1" applyAlignment="1">
      <alignment horizontal="center" vertical="center" textRotation="90" wrapText="1"/>
    </xf>
    <xf numFmtId="0" fontId="1" fillId="3" borderId="21" xfId="0" applyFont="1" applyFill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6" fontId="3" fillId="0" borderId="10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11" fontId="3" fillId="0" borderId="13" xfId="0" applyNumberFormat="1" applyFont="1" applyBorder="1" applyAlignment="1">
      <alignment horizontal="center" vertical="center" wrapText="1"/>
    </xf>
    <xf numFmtId="11" fontId="3" fillId="0" borderId="11" xfId="0" applyNumberFormat="1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</cellXfs>
  <cellStyles count="5">
    <cellStyle name="Moeda 2" xfId="2" xr:uid="{00000000-0005-0000-0000-000000000000}"/>
    <cellStyle name="Moeda 3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5050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24850</xdr:colOff>
      <xdr:row>0</xdr:row>
      <xdr:rowOff>8282</xdr:rowOff>
    </xdr:from>
    <xdr:to>
      <xdr:col>2</xdr:col>
      <xdr:colOff>1871116</xdr:colOff>
      <xdr:row>5</xdr:row>
      <xdr:rowOff>146702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931" r="36846"/>
        <a:stretch/>
      </xdr:blipFill>
      <xdr:spPr>
        <a:xfrm>
          <a:off x="367750" y="8282"/>
          <a:ext cx="1846266" cy="957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295946</xdr:colOff>
      <xdr:row>0</xdr:row>
      <xdr:rowOff>0</xdr:rowOff>
    </xdr:from>
    <xdr:to>
      <xdr:col>2</xdr:col>
      <xdr:colOff>2148562</xdr:colOff>
      <xdr:row>5</xdr:row>
      <xdr:rowOff>135457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931" r="36846"/>
        <a:stretch/>
      </xdr:blipFill>
      <xdr:spPr>
        <a:xfrm>
          <a:off x="640311" y="0"/>
          <a:ext cx="1852616" cy="9487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361027</xdr:colOff>
      <xdr:row>0</xdr:row>
      <xdr:rowOff>0</xdr:rowOff>
    </xdr:from>
    <xdr:to>
      <xdr:col>2</xdr:col>
      <xdr:colOff>2213643</xdr:colOff>
      <xdr:row>5</xdr:row>
      <xdr:rowOff>135457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931" r="36846"/>
        <a:stretch/>
      </xdr:blipFill>
      <xdr:spPr>
        <a:xfrm>
          <a:off x="711547" y="0"/>
          <a:ext cx="1852616" cy="9431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361027</xdr:colOff>
      <xdr:row>0</xdr:row>
      <xdr:rowOff>0</xdr:rowOff>
    </xdr:from>
    <xdr:to>
      <xdr:col>2</xdr:col>
      <xdr:colOff>2213643</xdr:colOff>
      <xdr:row>5</xdr:row>
      <xdr:rowOff>135457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931" r="36846"/>
        <a:stretch/>
      </xdr:blipFill>
      <xdr:spPr>
        <a:xfrm>
          <a:off x="708409" y="0"/>
          <a:ext cx="1852616" cy="931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510625</xdr:colOff>
      <xdr:row>0</xdr:row>
      <xdr:rowOff>8282</xdr:rowOff>
    </xdr:from>
    <xdr:to>
      <xdr:col>2</xdr:col>
      <xdr:colOff>2363241</xdr:colOff>
      <xdr:row>5</xdr:row>
      <xdr:rowOff>143739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931" r="36846"/>
        <a:stretch/>
      </xdr:blipFill>
      <xdr:spPr>
        <a:xfrm>
          <a:off x="853525" y="8282"/>
          <a:ext cx="1852616" cy="1087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70"/>
  <sheetViews>
    <sheetView showGridLines="0" zoomScale="115" zoomScaleNormal="115" workbookViewId="0">
      <selection activeCell="K26" sqref="K26"/>
    </sheetView>
  </sheetViews>
  <sheetFormatPr defaultColWidth="9.140625" defaultRowHeight="15" customHeight="1"/>
  <cols>
    <col min="1" max="1" width="5.140625" customWidth="1"/>
    <col min="2" max="2" width="9.7109375" bestFit="1" customWidth="1"/>
    <col min="3" max="3" width="38.5703125" customWidth="1"/>
    <col min="4" max="14" width="4.5703125" customWidth="1"/>
    <col min="15" max="15" width="5.5703125" customWidth="1"/>
    <col min="16" max="29" width="4.5703125" customWidth="1"/>
    <col min="30" max="30" width="5.28515625" customWidth="1"/>
    <col min="31" max="31" width="8.85546875" customWidth="1"/>
    <col min="32" max="32" width="4.28515625" customWidth="1"/>
    <col min="33" max="33" width="6.85546875" customWidth="1"/>
  </cols>
  <sheetData>
    <row r="1" spans="1:33" ht="12.75" customHeight="1">
      <c r="A1" s="7"/>
      <c r="B1" s="8"/>
      <c r="C1" s="31"/>
      <c r="D1" s="78" t="s">
        <v>0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47" t="s">
        <v>1</v>
      </c>
      <c r="AE1" s="47"/>
      <c r="AF1" s="47"/>
      <c r="AG1" s="48"/>
    </row>
    <row r="2" spans="1:33" ht="12.75" customHeight="1">
      <c r="A2" s="9"/>
      <c r="B2" s="37"/>
      <c r="C2" s="32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49"/>
      <c r="AE2" s="49"/>
      <c r="AF2" s="49"/>
      <c r="AG2" s="50"/>
    </row>
    <row r="3" spans="1:33" ht="12.75" customHeight="1">
      <c r="A3" s="5"/>
      <c r="B3" s="38"/>
      <c r="C3" s="6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2"/>
      <c r="Q3" s="52"/>
      <c r="R3" s="52"/>
      <c r="S3" s="52"/>
      <c r="T3" s="52"/>
      <c r="U3" s="51"/>
      <c r="V3" s="51"/>
      <c r="W3" s="51"/>
      <c r="X3" s="51"/>
      <c r="Y3" s="51"/>
      <c r="Z3" s="51"/>
      <c r="AA3" s="51"/>
      <c r="AB3" s="51"/>
      <c r="AC3" s="51"/>
      <c r="AD3" s="51"/>
      <c r="AE3" s="53"/>
      <c r="AF3" s="54" t="s">
        <v>2</v>
      </c>
      <c r="AG3" s="57" t="s">
        <v>3</v>
      </c>
    </row>
    <row r="4" spans="1:33" ht="12.75" customHeight="1">
      <c r="A4" s="5"/>
      <c r="B4" s="38"/>
      <c r="C4" s="6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71" t="s">
        <v>4</v>
      </c>
      <c r="Q4" s="72"/>
      <c r="R4" s="72"/>
      <c r="S4" s="72"/>
      <c r="T4" s="73"/>
      <c r="U4" s="51" t="s">
        <v>5</v>
      </c>
      <c r="V4" s="51"/>
      <c r="W4" s="51"/>
      <c r="X4" s="51"/>
      <c r="Y4" s="51"/>
      <c r="Z4" s="70" t="s">
        <v>6</v>
      </c>
      <c r="AA4" s="51"/>
      <c r="AB4" s="51"/>
      <c r="AC4" s="51"/>
      <c r="AD4" s="51"/>
      <c r="AE4" s="60" t="s">
        <v>7</v>
      </c>
      <c r="AF4" s="55"/>
      <c r="AG4" s="58"/>
    </row>
    <row r="5" spans="1:33" ht="13.5" customHeight="1">
      <c r="A5" s="5"/>
      <c r="B5" s="38"/>
      <c r="C5" s="6"/>
      <c r="D5" s="63" t="s">
        <v>8</v>
      </c>
      <c r="E5" s="66" t="s">
        <v>9</v>
      </c>
      <c r="F5" s="69" t="s">
        <v>10</v>
      </c>
      <c r="G5" s="69" t="s">
        <v>11</v>
      </c>
      <c r="H5" s="69" t="s">
        <v>12</v>
      </c>
      <c r="I5" s="69" t="s">
        <v>13</v>
      </c>
      <c r="J5" s="69" t="s">
        <v>14</v>
      </c>
      <c r="K5" s="69" t="s">
        <v>15</v>
      </c>
      <c r="L5" s="69"/>
      <c r="M5" s="69"/>
      <c r="N5" s="69"/>
      <c r="O5" s="76" t="s">
        <v>16</v>
      </c>
      <c r="P5" s="74" t="s">
        <v>17</v>
      </c>
      <c r="Q5" s="74" t="s">
        <v>18</v>
      </c>
      <c r="R5" s="74" t="s">
        <v>19</v>
      </c>
      <c r="S5" s="74" t="s">
        <v>20</v>
      </c>
      <c r="T5" s="76" t="s">
        <v>16</v>
      </c>
      <c r="U5" s="74" t="s">
        <v>21</v>
      </c>
      <c r="V5" s="74" t="s">
        <v>18</v>
      </c>
      <c r="W5" s="74" t="s">
        <v>19</v>
      </c>
      <c r="X5" s="74" t="s">
        <v>20</v>
      </c>
      <c r="Y5" s="80" t="s">
        <v>16</v>
      </c>
      <c r="Z5" s="74" t="s">
        <v>21</v>
      </c>
      <c r="AA5" s="74" t="s">
        <v>18</v>
      </c>
      <c r="AB5" s="74" t="s">
        <v>19</v>
      </c>
      <c r="AC5" s="74" t="s">
        <v>20</v>
      </c>
      <c r="AD5" s="80" t="s">
        <v>22</v>
      </c>
      <c r="AE5" s="61"/>
      <c r="AF5" s="55"/>
      <c r="AG5" s="58"/>
    </row>
    <row r="6" spans="1:33" ht="29.25" customHeight="1">
      <c r="A6" s="5"/>
      <c r="B6" s="38"/>
      <c r="C6" s="6"/>
      <c r="D6" s="64"/>
      <c r="E6" s="67"/>
      <c r="F6" s="67"/>
      <c r="G6" s="67"/>
      <c r="H6" s="67"/>
      <c r="I6" s="67"/>
      <c r="J6" s="67"/>
      <c r="K6" s="67"/>
      <c r="L6" s="67"/>
      <c r="M6" s="67"/>
      <c r="N6" s="67"/>
      <c r="O6" s="76"/>
      <c r="P6" s="67"/>
      <c r="Q6" s="74"/>
      <c r="R6" s="74"/>
      <c r="S6" s="74"/>
      <c r="T6" s="76"/>
      <c r="U6" s="67"/>
      <c r="V6" s="74"/>
      <c r="W6" s="74"/>
      <c r="X6" s="74"/>
      <c r="Y6" s="81"/>
      <c r="Z6" s="67"/>
      <c r="AA6" s="74"/>
      <c r="AB6" s="74"/>
      <c r="AC6" s="74"/>
      <c r="AD6" s="81"/>
      <c r="AE6" s="61"/>
      <c r="AF6" s="55"/>
      <c r="AG6" s="58"/>
    </row>
    <row r="7" spans="1:33" ht="14.45">
      <c r="A7" s="11" t="s">
        <v>23</v>
      </c>
      <c r="B7" s="39" t="s">
        <v>24</v>
      </c>
      <c r="C7" s="12" t="s">
        <v>25</v>
      </c>
      <c r="D7" s="65"/>
      <c r="E7" s="68"/>
      <c r="F7" s="68"/>
      <c r="G7" s="68"/>
      <c r="H7" s="68"/>
      <c r="I7" s="68"/>
      <c r="J7" s="68"/>
      <c r="K7" s="68"/>
      <c r="L7" s="68"/>
      <c r="M7" s="68"/>
      <c r="N7" s="68"/>
      <c r="O7" s="77"/>
      <c r="P7" s="68"/>
      <c r="Q7" s="75"/>
      <c r="R7" s="75"/>
      <c r="S7" s="75"/>
      <c r="T7" s="77"/>
      <c r="U7" s="68"/>
      <c r="V7" s="75"/>
      <c r="W7" s="75"/>
      <c r="X7" s="75"/>
      <c r="Y7" s="82"/>
      <c r="Z7" s="68"/>
      <c r="AA7" s="75"/>
      <c r="AB7" s="75"/>
      <c r="AC7" s="75"/>
      <c r="AD7" s="82"/>
      <c r="AE7" s="62"/>
      <c r="AF7" s="56"/>
      <c r="AG7" s="59"/>
    </row>
    <row r="8" spans="1:33" ht="15" customHeight="1">
      <c r="A8" s="13">
        <v>1</v>
      </c>
      <c r="B8" s="40">
        <v>1801648454</v>
      </c>
      <c r="C8" s="33" t="s">
        <v>26</v>
      </c>
      <c r="D8" s="25">
        <v>10</v>
      </c>
      <c r="E8" s="3">
        <v>10</v>
      </c>
      <c r="F8" s="3">
        <v>10</v>
      </c>
      <c r="G8" s="3">
        <v>0</v>
      </c>
      <c r="H8" s="3">
        <v>10</v>
      </c>
      <c r="I8" s="3">
        <v>10</v>
      </c>
      <c r="J8" s="3">
        <v>10</v>
      </c>
      <c r="K8" s="3">
        <v>10</v>
      </c>
      <c r="L8" s="3"/>
      <c r="M8" s="3"/>
      <c r="N8" s="3"/>
      <c r="O8" s="22">
        <f t="shared" ref="O8:O39" si="0">AVERAGE(D8:N8)/4</f>
        <v>2.1875</v>
      </c>
      <c r="P8" s="1">
        <v>10</v>
      </c>
      <c r="Q8" s="1">
        <v>10</v>
      </c>
      <c r="R8" s="1"/>
      <c r="S8" s="1"/>
      <c r="T8" s="22">
        <f>AVERAGE(P8:S8)/4</f>
        <v>2.5</v>
      </c>
      <c r="U8" s="2">
        <v>10</v>
      </c>
      <c r="V8" s="3">
        <v>10</v>
      </c>
      <c r="W8" s="3"/>
      <c r="X8" s="1"/>
      <c r="Y8" s="24">
        <f>AVERAGE(U8:X8)/4</f>
        <v>2.5</v>
      </c>
      <c r="Z8" s="2"/>
      <c r="AA8" s="26"/>
      <c r="AB8" s="28"/>
      <c r="AC8" s="26"/>
      <c r="AD8" s="24" t="e">
        <f>AVERAGE(Z8:AC8)/4</f>
        <v>#DIV/0!</v>
      </c>
      <c r="AE8" s="23" t="e">
        <f t="shared" ref="AE8:AE40" si="1">SUM(O8,T8,Y8,AD8)</f>
        <v>#DIV/0!</v>
      </c>
      <c r="AF8" s="4"/>
      <c r="AG8" s="2"/>
    </row>
    <row r="9" spans="1:33" ht="15" customHeight="1">
      <c r="A9" s="13">
        <v>2</v>
      </c>
      <c r="B9" s="40">
        <v>1727754</v>
      </c>
      <c r="C9" s="33" t="s">
        <v>27</v>
      </c>
      <c r="D9" s="25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/>
      <c r="M9" s="3"/>
      <c r="N9" s="3"/>
      <c r="O9" s="22">
        <f t="shared" si="0"/>
        <v>2.5</v>
      </c>
      <c r="P9" s="1">
        <v>10</v>
      </c>
      <c r="Q9" s="1">
        <v>10</v>
      </c>
      <c r="R9" s="1"/>
      <c r="S9" s="1"/>
      <c r="T9" s="22">
        <f t="shared" ref="T9:T40" si="2">AVERAGE(P9:S9)/4</f>
        <v>2.5</v>
      </c>
      <c r="U9" s="2">
        <v>10</v>
      </c>
      <c r="V9" s="3">
        <v>10</v>
      </c>
      <c r="W9" s="3"/>
      <c r="X9" s="1"/>
      <c r="Y9" s="24">
        <f t="shared" ref="Y9:Y39" si="3">AVERAGE(U9:X9)/4</f>
        <v>2.5</v>
      </c>
      <c r="Z9" s="2"/>
      <c r="AA9" s="26"/>
      <c r="AB9" s="29"/>
      <c r="AC9" s="26"/>
      <c r="AD9" s="24" t="e">
        <f t="shared" ref="AD9:AD36" si="4">AVERAGE(Z9:AC9)/4</f>
        <v>#DIV/0!</v>
      </c>
      <c r="AE9" s="23" t="e">
        <f t="shared" si="1"/>
        <v>#DIV/0!</v>
      </c>
      <c r="AF9" s="4"/>
      <c r="AG9" s="2"/>
    </row>
    <row r="10" spans="1:33" ht="15" customHeight="1">
      <c r="A10" s="13">
        <v>3</v>
      </c>
      <c r="B10" s="40">
        <v>1727917</v>
      </c>
      <c r="C10" s="33" t="s">
        <v>28</v>
      </c>
      <c r="D10" s="25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5</v>
      </c>
      <c r="K10" s="3">
        <v>10</v>
      </c>
      <c r="L10" s="3"/>
      <c r="M10" s="3"/>
      <c r="N10" s="3"/>
      <c r="O10" s="22">
        <f t="shared" si="0"/>
        <v>2.34375</v>
      </c>
      <c r="P10" s="1">
        <v>10</v>
      </c>
      <c r="Q10" s="1">
        <v>10</v>
      </c>
      <c r="R10" s="1"/>
      <c r="S10" s="1"/>
      <c r="T10" s="22">
        <f t="shared" si="2"/>
        <v>2.5</v>
      </c>
      <c r="U10" s="2">
        <v>10</v>
      </c>
      <c r="V10" s="3">
        <v>10</v>
      </c>
      <c r="W10" s="3"/>
      <c r="X10" s="1"/>
      <c r="Y10" s="24">
        <f t="shared" si="3"/>
        <v>2.5</v>
      </c>
      <c r="Z10" s="2"/>
      <c r="AA10" s="26"/>
      <c r="AB10" s="29"/>
      <c r="AC10" s="26"/>
      <c r="AD10" s="24" t="e">
        <f t="shared" si="4"/>
        <v>#DIV/0!</v>
      </c>
      <c r="AE10" s="23" t="e">
        <f t="shared" si="1"/>
        <v>#DIV/0!</v>
      </c>
      <c r="AF10" s="4"/>
      <c r="AG10" s="2"/>
    </row>
    <row r="11" spans="1:33" ht="15" customHeight="1">
      <c r="A11" s="13">
        <v>4</v>
      </c>
      <c r="B11" s="40">
        <v>2301836265</v>
      </c>
      <c r="C11" s="33" t="s">
        <v>29</v>
      </c>
      <c r="D11" s="25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/>
      <c r="M11" s="3"/>
      <c r="N11" s="3"/>
      <c r="O11" s="22">
        <f t="shared" si="0"/>
        <v>2.5</v>
      </c>
      <c r="P11" s="1">
        <v>10</v>
      </c>
      <c r="Q11" s="1">
        <v>10</v>
      </c>
      <c r="R11" s="1"/>
      <c r="S11" s="1"/>
      <c r="T11" s="22">
        <f t="shared" si="2"/>
        <v>2.5</v>
      </c>
      <c r="U11" s="2">
        <v>10</v>
      </c>
      <c r="V11" s="3">
        <v>10</v>
      </c>
      <c r="W11" s="3"/>
      <c r="X11" s="1"/>
      <c r="Y11" s="24">
        <f t="shared" si="3"/>
        <v>2.5</v>
      </c>
      <c r="Z11" s="2"/>
      <c r="AA11" s="26"/>
      <c r="AB11" s="29"/>
      <c r="AC11" s="26"/>
      <c r="AD11" s="24" t="e">
        <f t="shared" si="4"/>
        <v>#DIV/0!</v>
      </c>
      <c r="AE11" s="23" t="e">
        <f t="shared" si="1"/>
        <v>#DIV/0!</v>
      </c>
      <c r="AF11" s="4"/>
      <c r="AG11" s="2"/>
    </row>
    <row r="12" spans="1:33" ht="15" customHeight="1">
      <c r="A12" s="13">
        <v>5</v>
      </c>
      <c r="B12" s="40">
        <v>1727815</v>
      </c>
      <c r="C12" s="33" t="s">
        <v>30</v>
      </c>
      <c r="D12" s="25">
        <v>10</v>
      </c>
      <c r="E12" s="3">
        <v>10</v>
      </c>
      <c r="F12" s="3">
        <v>0</v>
      </c>
      <c r="G12" s="3">
        <v>10</v>
      </c>
      <c r="H12" s="3">
        <v>10</v>
      </c>
      <c r="I12" s="3">
        <v>5</v>
      </c>
      <c r="J12" s="3">
        <v>10</v>
      </c>
      <c r="K12" s="3" t="s">
        <v>31</v>
      </c>
      <c r="L12" s="3"/>
      <c r="M12" s="3"/>
      <c r="N12" s="3"/>
      <c r="O12" s="22">
        <f t="shared" si="0"/>
        <v>1.9642857142857142</v>
      </c>
      <c r="P12" s="1">
        <v>10</v>
      </c>
      <c r="Q12" s="1" t="s">
        <v>31</v>
      </c>
      <c r="R12" s="1"/>
      <c r="S12" s="1"/>
      <c r="T12" s="22">
        <f t="shared" si="2"/>
        <v>2.5</v>
      </c>
      <c r="U12" s="2">
        <v>10</v>
      </c>
      <c r="V12" s="3" t="s">
        <v>31</v>
      </c>
      <c r="W12" s="3"/>
      <c r="X12" s="1"/>
      <c r="Y12" s="24">
        <f t="shared" si="3"/>
        <v>2.5</v>
      </c>
      <c r="Z12" s="2"/>
      <c r="AA12" s="26"/>
      <c r="AB12" s="29"/>
      <c r="AC12" s="26"/>
      <c r="AD12" s="24" t="e">
        <f t="shared" si="4"/>
        <v>#DIV/0!</v>
      </c>
      <c r="AE12" s="23" t="e">
        <f t="shared" si="1"/>
        <v>#DIV/0!</v>
      </c>
      <c r="AF12" s="4"/>
      <c r="AG12" s="2"/>
    </row>
    <row r="13" spans="1:33" ht="15" customHeight="1">
      <c r="A13" s="13">
        <v>6</v>
      </c>
      <c r="B13" s="40">
        <v>1701622255</v>
      </c>
      <c r="C13" s="33" t="s">
        <v>32</v>
      </c>
      <c r="D13" s="25">
        <v>10</v>
      </c>
      <c r="E13" s="3">
        <v>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/>
      <c r="M13" s="3"/>
      <c r="N13" s="3"/>
      <c r="O13" s="22">
        <f t="shared" si="0"/>
        <v>2.1875</v>
      </c>
      <c r="P13" s="1">
        <v>10</v>
      </c>
      <c r="Q13" s="1">
        <v>10</v>
      </c>
      <c r="R13" s="1"/>
      <c r="S13" s="1"/>
      <c r="T13" s="22">
        <f t="shared" si="2"/>
        <v>2.5</v>
      </c>
      <c r="U13" s="2">
        <v>0</v>
      </c>
      <c r="V13" s="3">
        <v>10</v>
      </c>
      <c r="W13" s="3"/>
      <c r="X13" s="1"/>
      <c r="Y13" s="24">
        <f t="shared" si="3"/>
        <v>1.25</v>
      </c>
      <c r="Z13" s="2"/>
      <c r="AA13" s="26"/>
      <c r="AB13" s="29"/>
      <c r="AC13" s="26"/>
      <c r="AD13" s="24" t="e">
        <f t="shared" si="4"/>
        <v>#DIV/0!</v>
      </c>
      <c r="AE13" s="23" t="e">
        <f t="shared" si="1"/>
        <v>#DIV/0!</v>
      </c>
      <c r="AF13" s="4"/>
      <c r="AG13" s="2"/>
    </row>
    <row r="14" spans="1:33" ht="15" customHeight="1">
      <c r="A14" s="13">
        <v>7</v>
      </c>
      <c r="B14" s="40">
        <v>1727742</v>
      </c>
      <c r="C14" s="33" t="s">
        <v>33</v>
      </c>
      <c r="D14" s="25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/>
      <c r="M14" s="3"/>
      <c r="N14" s="3"/>
      <c r="O14" s="22">
        <f t="shared" si="0"/>
        <v>2.5</v>
      </c>
      <c r="P14" s="1">
        <v>10</v>
      </c>
      <c r="Q14" s="1">
        <v>10</v>
      </c>
      <c r="R14" s="1"/>
      <c r="S14" s="1"/>
      <c r="T14" s="22">
        <f t="shared" si="2"/>
        <v>2.5</v>
      </c>
      <c r="U14" s="2">
        <v>10</v>
      </c>
      <c r="V14" s="3">
        <v>10</v>
      </c>
      <c r="W14" s="3"/>
      <c r="X14" s="1"/>
      <c r="Y14" s="24">
        <f t="shared" si="3"/>
        <v>2.5</v>
      </c>
      <c r="Z14" s="2"/>
      <c r="AA14" s="26"/>
      <c r="AB14" s="29"/>
      <c r="AC14" s="26"/>
      <c r="AD14" s="24" t="e">
        <f t="shared" si="4"/>
        <v>#DIV/0!</v>
      </c>
      <c r="AE14" s="23" t="e">
        <f t="shared" si="1"/>
        <v>#DIV/0!</v>
      </c>
      <c r="AF14" s="4"/>
      <c r="AG14" s="2"/>
    </row>
    <row r="15" spans="1:33" ht="15" customHeight="1">
      <c r="A15" s="13">
        <v>8</v>
      </c>
      <c r="B15" s="40">
        <v>1601525386</v>
      </c>
      <c r="C15" s="33" t="s">
        <v>34</v>
      </c>
      <c r="D15" s="25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/>
      <c r="M15" s="3"/>
      <c r="N15" s="3"/>
      <c r="O15" s="22">
        <f t="shared" si="0"/>
        <v>2.5</v>
      </c>
      <c r="P15" s="1">
        <v>10</v>
      </c>
      <c r="Q15" s="1">
        <v>10</v>
      </c>
      <c r="R15" s="1"/>
      <c r="S15" s="1"/>
      <c r="T15" s="22">
        <f t="shared" si="2"/>
        <v>2.5</v>
      </c>
      <c r="U15" s="2">
        <v>10</v>
      </c>
      <c r="V15" s="3">
        <v>10</v>
      </c>
      <c r="W15" s="3"/>
      <c r="X15" s="1"/>
      <c r="Y15" s="24">
        <f t="shared" si="3"/>
        <v>2.5</v>
      </c>
      <c r="Z15" s="2"/>
      <c r="AA15" s="26"/>
      <c r="AB15" s="29"/>
      <c r="AC15" s="26"/>
      <c r="AD15" s="24" t="e">
        <f t="shared" si="4"/>
        <v>#DIV/0!</v>
      </c>
      <c r="AE15" s="23" t="e">
        <f t="shared" si="1"/>
        <v>#DIV/0!</v>
      </c>
      <c r="AF15" s="4"/>
      <c r="AG15" s="2"/>
    </row>
    <row r="16" spans="1:33" ht="15" customHeight="1">
      <c r="A16" s="13">
        <v>9</v>
      </c>
      <c r="B16" s="40">
        <v>202300006</v>
      </c>
      <c r="C16" s="33" t="s">
        <v>35</v>
      </c>
      <c r="D16" s="25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/>
      <c r="M16" s="3"/>
      <c r="N16" s="3"/>
      <c r="O16" s="22">
        <f t="shared" si="0"/>
        <v>2.5</v>
      </c>
      <c r="P16" s="1">
        <v>10</v>
      </c>
      <c r="Q16" s="1">
        <v>10</v>
      </c>
      <c r="R16" s="1"/>
      <c r="S16" s="1"/>
      <c r="T16" s="22">
        <f t="shared" si="2"/>
        <v>2.5</v>
      </c>
      <c r="U16" s="2">
        <v>10</v>
      </c>
      <c r="V16" s="3">
        <v>10</v>
      </c>
      <c r="W16" s="3"/>
      <c r="X16" s="1"/>
      <c r="Y16" s="24">
        <f t="shared" si="3"/>
        <v>2.5</v>
      </c>
      <c r="Z16" s="2"/>
      <c r="AA16" s="26"/>
      <c r="AB16" s="29"/>
      <c r="AC16" s="26"/>
      <c r="AD16" s="24" t="e">
        <f t="shared" si="4"/>
        <v>#DIV/0!</v>
      </c>
      <c r="AE16" s="23" t="e">
        <f t="shared" si="1"/>
        <v>#DIV/0!</v>
      </c>
      <c r="AF16" s="4"/>
      <c r="AG16" s="2"/>
    </row>
    <row r="17" spans="1:33" ht="15" customHeight="1">
      <c r="A17" s="13">
        <v>10</v>
      </c>
      <c r="B17" s="40">
        <v>2601914044</v>
      </c>
      <c r="C17" s="33" t="s">
        <v>36</v>
      </c>
      <c r="D17" s="25">
        <v>10</v>
      </c>
      <c r="E17" s="3">
        <v>10</v>
      </c>
      <c r="F17" s="3">
        <v>10</v>
      </c>
      <c r="G17" s="3">
        <v>10</v>
      </c>
      <c r="H17" s="3">
        <v>10</v>
      </c>
      <c r="I17" s="3">
        <v>5</v>
      </c>
      <c r="J17" s="3">
        <v>10</v>
      </c>
      <c r="K17" s="3">
        <v>10</v>
      </c>
      <c r="L17" s="3"/>
      <c r="M17" s="3"/>
      <c r="N17" s="3"/>
      <c r="O17" s="22">
        <f t="shared" si="0"/>
        <v>2.34375</v>
      </c>
      <c r="P17" s="1">
        <v>10</v>
      </c>
      <c r="Q17" s="1">
        <v>10</v>
      </c>
      <c r="R17" s="1"/>
      <c r="S17" s="1"/>
      <c r="T17" s="22">
        <f t="shared" si="2"/>
        <v>2.5</v>
      </c>
      <c r="U17" s="2">
        <v>10</v>
      </c>
      <c r="V17" s="3">
        <v>10</v>
      </c>
      <c r="W17" s="3"/>
      <c r="X17" s="1"/>
      <c r="Y17" s="24">
        <f t="shared" si="3"/>
        <v>2.5</v>
      </c>
      <c r="Z17" s="2"/>
      <c r="AA17" s="26"/>
      <c r="AB17" s="29"/>
      <c r="AC17" s="26"/>
      <c r="AD17" s="24" t="e">
        <f t="shared" si="4"/>
        <v>#DIV/0!</v>
      </c>
      <c r="AE17" s="23" t="e">
        <f t="shared" si="1"/>
        <v>#DIV/0!</v>
      </c>
      <c r="AF17" s="4"/>
      <c r="AG17" s="2"/>
    </row>
    <row r="18" spans="1:33" ht="15" customHeight="1">
      <c r="A18" s="13">
        <v>11</v>
      </c>
      <c r="B18" s="40">
        <v>2001730409</v>
      </c>
      <c r="C18" s="33" t="s">
        <v>37</v>
      </c>
      <c r="D18" s="25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/>
      <c r="L18" s="3"/>
      <c r="M18" s="3"/>
      <c r="N18" s="3"/>
      <c r="O18" s="22">
        <f t="shared" si="0"/>
        <v>2.5</v>
      </c>
      <c r="P18" s="1">
        <v>10</v>
      </c>
      <c r="Q18" s="1"/>
      <c r="R18" s="1"/>
      <c r="S18" s="1"/>
      <c r="T18" s="22">
        <f t="shared" si="2"/>
        <v>2.5</v>
      </c>
      <c r="U18" s="2">
        <v>5</v>
      </c>
      <c r="V18" s="3"/>
      <c r="W18" s="3"/>
      <c r="X18" s="1"/>
      <c r="Y18" s="24">
        <f t="shared" si="3"/>
        <v>1.25</v>
      </c>
      <c r="Z18" s="2"/>
      <c r="AA18" s="30"/>
      <c r="AB18" s="29"/>
      <c r="AC18" s="26"/>
      <c r="AD18" s="24" t="e">
        <f t="shared" si="4"/>
        <v>#DIV/0!</v>
      </c>
      <c r="AE18" s="23" t="e">
        <f t="shared" si="1"/>
        <v>#DIV/0!</v>
      </c>
      <c r="AF18" s="4"/>
      <c r="AG18" s="2"/>
    </row>
    <row r="19" spans="1:33" ht="15" customHeight="1">
      <c r="A19" s="13">
        <v>12</v>
      </c>
      <c r="B19" s="40">
        <v>2101763862</v>
      </c>
      <c r="C19" s="33" t="s">
        <v>38</v>
      </c>
      <c r="D19" s="25">
        <v>10</v>
      </c>
      <c r="E19" s="3">
        <v>10</v>
      </c>
      <c r="F19" s="3">
        <v>10</v>
      </c>
      <c r="G19" s="3">
        <v>5</v>
      </c>
      <c r="H19" s="3">
        <v>10</v>
      </c>
      <c r="I19" s="3">
        <v>10</v>
      </c>
      <c r="J19" s="3">
        <v>10</v>
      </c>
      <c r="K19" s="3">
        <v>10</v>
      </c>
      <c r="L19" s="3"/>
      <c r="M19" s="3"/>
      <c r="N19" s="3"/>
      <c r="O19" s="22">
        <f t="shared" si="0"/>
        <v>2.34375</v>
      </c>
      <c r="P19" s="1">
        <v>10</v>
      </c>
      <c r="Q19" s="1">
        <v>10</v>
      </c>
      <c r="R19" s="1"/>
      <c r="S19" s="1"/>
      <c r="T19" s="22">
        <f t="shared" si="2"/>
        <v>2.5</v>
      </c>
      <c r="U19" s="2">
        <v>10</v>
      </c>
      <c r="V19" s="3">
        <v>0</v>
      </c>
      <c r="W19" s="3"/>
      <c r="X19" s="1"/>
      <c r="Y19" s="24">
        <f t="shared" si="3"/>
        <v>1.25</v>
      </c>
      <c r="Z19" s="2"/>
      <c r="AA19" s="26"/>
      <c r="AB19" s="29"/>
      <c r="AC19" s="26"/>
      <c r="AD19" s="24" t="e">
        <f t="shared" si="4"/>
        <v>#DIV/0!</v>
      </c>
      <c r="AE19" s="23" t="e">
        <f t="shared" si="1"/>
        <v>#DIV/0!</v>
      </c>
      <c r="AF19" s="4"/>
      <c r="AG19" s="2"/>
    </row>
    <row r="20" spans="1:33" ht="15" customHeight="1">
      <c r="A20" s="13">
        <v>13</v>
      </c>
      <c r="B20" s="40">
        <v>2023000829</v>
      </c>
      <c r="C20" s="33" t="s">
        <v>39</v>
      </c>
      <c r="D20" s="25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/>
      <c r="M20" s="3"/>
      <c r="N20" s="3"/>
      <c r="O20" s="22">
        <f t="shared" si="0"/>
        <v>2.5</v>
      </c>
      <c r="P20" s="1">
        <v>10</v>
      </c>
      <c r="Q20" s="1">
        <v>10</v>
      </c>
      <c r="R20" s="1"/>
      <c r="S20" s="1"/>
      <c r="T20" s="22">
        <f t="shared" si="2"/>
        <v>2.5</v>
      </c>
      <c r="U20" s="2">
        <v>10</v>
      </c>
      <c r="V20" s="3">
        <v>10</v>
      </c>
      <c r="W20" s="3"/>
      <c r="X20" s="1"/>
      <c r="Y20" s="24">
        <f t="shared" si="3"/>
        <v>2.5</v>
      </c>
      <c r="Z20" s="2"/>
      <c r="AA20" s="26"/>
      <c r="AB20" s="29"/>
      <c r="AC20" s="26"/>
      <c r="AD20" s="24" t="e">
        <f t="shared" si="4"/>
        <v>#DIV/0!</v>
      </c>
      <c r="AE20" s="23" t="e">
        <f t="shared" si="1"/>
        <v>#DIV/0!</v>
      </c>
      <c r="AF20" s="4"/>
      <c r="AG20" s="2"/>
    </row>
    <row r="21" spans="1:33" ht="15" customHeight="1">
      <c r="A21" s="13">
        <v>14</v>
      </c>
      <c r="B21" s="40">
        <v>2001730348</v>
      </c>
      <c r="C21" s="33" t="s">
        <v>40</v>
      </c>
      <c r="D21" s="25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/>
      <c r="M21" s="3"/>
      <c r="N21" s="3"/>
      <c r="O21" s="22">
        <f t="shared" si="0"/>
        <v>2.5</v>
      </c>
      <c r="P21" s="1">
        <v>10</v>
      </c>
      <c r="Q21" s="1">
        <v>10</v>
      </c>
      <c r="R21" s="1"/>
      <c r="S21" s="1"/>
      <c r="T21" s="22">
        <f t="shared" si="2"/>
        <v>2.5</v>
      </c>
      <c r="U21" s="2">
        <v>10</v>
      </c>
      <c r="V21" s="3">
        <v>10</v>
      </c>
      <c r="W21" s="3"/>
      <c r="X21" s="1"/>
      <c r="Y21" s="24">
        <f t="shared" si="3"/>
        <v>2.5</v>
      </c>
      <c r="Z21" s="2"/>
      <c r="AA21" s="26"/>
      <c r="AB21" s="29"/>
      <c r="AC21" s="26"/>
      <c r="AD21" s="24" t="e">
        <f t="shared" si="4"/>
        <v>#DIV/0!</v>
      </c>
      <c r="AE21" s="23" t="e">
        <f t="shared" si="1"/>
        <v>#DIV/0!</v>
      </c>
      <c r="AF21" s="4"/>
      <c r="AG21" s="2"/>
    </row>
    <row r="22" spans="1:33" ht="15" customHeight="1">
      <c r="A22" s="13">
        <v>15</v>
      </c>
      <c r="B22" s="40">
        <v>1727752</v>
      </c>
      <c r="C22" s="33" t="s">
        <v>41</v>
      </c>
      <c r="D22" s="25">
        <v>10</v>
      </c>
      <c r="E22" s="3">
        <v>10</v>
      </c>
      <c r="F22" s="3">
        <v>0</v>
      </c>
      <c r="G22" s="3">
        <v>10</v>
      </c>
      <c r="H22" s="3">
        <v>10</v>
      </c>
      <c r="I22" s="3">
        <v>10</v>
      </c>
      <c r="J22" s="3">
        <v>5</v>
      </c>
      <c r="K22" s="3">
        <v>10</v>
      </c>
      <c r="L22" s="3"/>
      <c r="M22" s="3"/>
      <c r="N22" s="3"/>
      <c r="O22" s="22">
        <f t="shared" si="0"/>
        <v>2.03125</v>
      </c>
      <c r="P22" s="1">
        <v>10</v>
      </c>
      <c r="Q22" s="1">
        <v>10</v>
      </c>
      <c r="R22" s="1"/>
      <c r="S22" s="1"/>
      <c r="T22" s="22">
        <f t="shared" si="2"/>
        <v>2.5</v>
      </c>
      <c r="U22" s="2">
        <v>10</v>
      </c>
      <c r="V22" s="3">
        <v>10</v>
      </c>
      <c r="W22" s="3"/>
      <c r="X22" s="1"/>
      <c r="Y22" s="24">
        <f t="shared" si="3"/>
        <v>2.5</v>
      </c>
      <c r="Z22" s="2"/>
      <c r="AA22" s="26"/>
      <c r="AB22" s="29"/>
      <c r="AC22" s="26"/>
      <c r="AD22" s="24" t="e">
        <f t="shared" si="4"/>
        <v>#DIV/0!</v>
      </c>
      <c r="AE22" s="23" t="e">
        <f t="shared" si="1"/>
        <v>#DIV/0!</v>
      </c>
      <c r="AF22" s="4"/>
      <c r="AG22" s="2"/>
    </row>
    <row r="23" spans="1:33" ht="15" customHeight="1">
      <c r="A23" s="13">
        <v>16</v>
      </c>
      <c r="B23" s="40">
        <v>2301833500</v>
      </c>
      <c r="C23" s="33" t="s">
        <v>42</v>
      </c>
      <c r="D23" s="25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/>
      <c r="M23" s="3"/>
      <c r="N23" s="3"/>
      <c r="O23" s="22">
        <f t="shared" si="0"/>
        <v>2.5</v>
      </c>
      <c r="P23" s="1">
        <v>10</v>
      </c>
      <c r="Q23" s="1">
        <v>10</v>
      </c>
      <c r="R23" s="1"/>
      <c r="S23" s="1"/>
      <c r="T23" s="22">
        <f t="shared" si="2"/>
        <v>2.5</v>
      </c>
      <c r="U23" s="2">
        <v>10</v>
      </c>
      <c r="V23" s="3">
        <v>10</v>
      </c>
      <c r="W23" s="3"/>
      <c r="X23" s="1"/>
      <c r="Y23" s="24">
        <f t="shared" si="3"/>
        <v>2.5</v>
      </c>
      <c r="Z23" s="2"/>
      <c r="AA23" s="26"/>
      <c r="AB23" s="29"/>
      <c r="AC23" s="26"/>
      <c r="AD23" s="24" t="e">
        <f t="shared" si="4"/>
        <v>#DIV/0!</v>
      </c>
      <c r="AE23" s="23" t="e">
        <f t="shared" si="1"/>
        <v>#DIV/0!</v>
      </c>
      <c r="AF23" s="4"/>
      <c r="AG23" s="2"/>
    </row>
    <row r="24" spans="1:33" ht="15" customHeight="1">
      <c r="A24" s="13">
        <v>17</v>
      </c>
      <c r="B24" s="40">
        <v>202300145</v>
      </c>
      <c r="C24" s="33" t="s">
        <v>43</v>
      </c>
      <c r="D24" s="25">
        <v>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/>
      <c r="M24" s="3"/>
      <c r="N24" s="3"/>
      <c r="O24" s="22">
        <f t="shared" si="0"/>
        <v>2.1875</v>
      </c>
      <c r="P24" s="1">
        <v>10</v>
      </c>
      <c r="Q24" s="1">
        <v>10</v>
      </c>
      <c r="R24" s="1"/>
      <c r="S24" s="1"/>
      <c r="T24" s="22">
        <f t="shared" si="2"/>
        <v>2.5</v>
      </c>
      <c r="U24" s="2">
        <v>10</v>
      </c>
      <c r="V24" s="3">
        <v>10</v>
      </c>
      <c r="W24" s="3"/>
      <c r="X24" s="1"/>
      <c r="Y24" s="24">
        <f t="shared" si="3"/>
        <v>2.5</v>
      </c>
      <c r="Z24" s="2"/>
      <c r="AA24" s="26"/>
      <c r="AB24" s="29"/>
      <c r="AC24" s="26"/>
      <c r="AD24" s="24" t="e">
        <f t="shared" si="4"/>
        <v>#DIV/0!</v>
      </c>
      <c r="AE24" s="23" t="e">
        <f t="shared" si="1"/>
        <v>#DIV/0!</v>
      </c>
      <c r="AF24" s="4"/>
      <c r="AG24" s="2"/>
    </row>
    <row r="25" spans="1:33" ht="15" customHeight="1">
      <c r="A25" s="13">
        <v>18</v>
      </c>
      <c r="B25" s="40">
        <v>202300113</v>
      </c>
      <c r="C25" s="33" t="s">
        <v>44</v>
      </c>
      <c r="D25" s="25">
        <v>10</v>
      </c>
      <c r="E25" s="3">
        <v>0</v>
      </c>
      <c r="F25" s="3">
        <v>10</v>
      </c>
      <c r="G25" s="3">
        <v>0</v>
      </c>
      <c r="H25" s="3">
        <v>10</v>
      </c>
      <c r="I25" s="3">
        <v>10</v>
      </c>
      <c r="J25" s="3">
        <v>5</v>
      </c>
      <c r="K25" s="3">
        <v>10</v>
      </c>
      <c r="L25" s="3"/>
      <c r="M25" s="3"/>
      <c r="N25" s="3"/>
      <c r="O25" s="22">
        <f t="shared" si="0"/>
        <v>1.71875</v>
      </c>
      <c r="P25" s="1">
        <v>10</v>
      </c>
      <c r="Q25" s="1">
        <v>10</v>
      </c>
      <c r="R25" s="1"/>
      <c r="S25" s="1"/>
      <c r="T25" s="22">
        <f t="shared" si="2"/>
        <v>2.5</v>
      </c>
      <c r="U25" s="2">
        <v>10</v>
      </c>
      <c r="V25" s="3">
        <v>10</v>
      </c>
      <c r="W25" s="3"/>
      <c r="X25" s="1"/>
      <c r="Y25" s="24">
        <f t="shared" si="3"/>
        <v>2.5</v>
      </c>
      <c r="Z25" s="2"/>
      <c r="AA25" s="26"/>
      <c r="AB25" s="29"/>
      <c r="AC25" s="26"/>
      <c r="AD25" s="24" t="e">
        <f t="shared" si="4"/>
        <v>#DIV/0!</v>
      </c>
      <c r="AE25" s="23" t="e">
        <f t="shared" si="1"/>
        <v>#DIV/0!</v>
      </c>
      <c r="AF25" s="4"/>
      <c r="AG25" s="2"/>
    </row>
    <row r="26" spans="1:33" ht="15" customHeight="1">
      <c r="A26" s="13">
        <v>19</v>
      </c>
      <c r="B26" s="40">
        <v>202300116</v>
      </c>
      <c r="C26" s="33" t="s">
        <v>45</v>
      </c>
      <c r="D26" s="25">
        <v>10</v>
      </c>
      <c r="E26" s="3">
        <v>10</v>
      </c>
      <c r="F26" s="3">
        <v>10</v>
      </c>
      <c r="G26" s="3">
        <v>10</v>
      </c>
      <c r="H26" s="3">
        <v>10</v>
      </c>
      <c r="I26" s="3">
        <v>0</v>
      </c>
      <c r="J26" s="3">
        <v>10</v>
      </c>
      <c r="K26" s="3">
        <v>10</v>
      </c>
      <c r="L26" s="3"/>
      <c r="M26" s="3"/>
      <c r="N26" s="3"/>
      <c r="O26" s="22">
        <f t="shared" si="0"/>
        <v>2.1875</v>
      </c>
      <c r="P26" s="1">
        <v>10</v>
      </c>
      <c r="Q26" s="1">
        <v>10</v>
      </c>
      <c r="R26" s="1"/>
      <c r="S26" s="1"/>
      <c r="T26" s="22">
        <f t="shared" si="2"/>
        <v>2.5</v>
      </c>
      <c r="U26" s="2">
        <v>10</v>
      </c>
      <c r="V26" s="3">
        <v>10</v>
      </c>
      <c r="W26" s="3"/>
      <c r="X26" s="1"/>
      <c r="Y26" s="24">
        <f t="shared" si="3"/>
        <v>2.5</v>
      </c>
      <c r="Z26" s="2"/>
      <c r="AA26" s="26"/>
      <c r="AB26" s="29"/>
      <c r="AC26" s="26"/>
      <c r="AD26" s="24" t="e">
        <f t="shared" si="4"/>
        <v>#DIV/0!</v>
      </c>
      <c r="AE26" s="23" t="e">
        <f t="shared" si="1"/>
        <v>#DIV/0!</v>
      </c>
      <c r="AF26" s="4"/>
      <c r="AG26" s="2"/>
    </row>
    <row r="27" spans="1:33" ht="15" customHeight="1">
      <c r="A27" s="13">
        <v>20</v>
      </c>
      <c r="B27" s="40">
        <v>2601913901</v>
      </c>
      <c r="C27" s="33" t="s">
        <v>46</v>
      </c>
      <c r="D27" s="25">
        <v>10</v>
      </c>
      <c r="E27" s="3">
        <v>10</v>
      </c>
      <c r="F27" s="3">
        <v>10</v>
      </c>
      <c r="G27" s="3">
        <v>0</v>
      </c>
      <c r="H27" s="3">
        <v>0</v>
      </c>
      <c r="I27" s="3">
        <v>10</v>
      </c>
      <c r="J27" s="3">
        <v>5</v>
      </c>
      <c r="K27" s="3">
        <v>10</v>
      </c>
      <c r="L27" s="3"/>
      <c r="M27" s="3"/>
      <c r="N27" s="3"/>
      <c r="O27" s="22">
        <f t="shared" si="0"/>
        <v>1.71875</v>
      </c>
      <c r="P27" s="1">
        <v>10</v>
      </c>
      <c r="Q27" s="1">
        <v>10</v>
      </c>
      <c r="R27" s="1"/>
      <c r="S27" s="1"/>
      <c r="T27" s="22">
        <f t="shared" si="2"/>
        <v>2.5</v>
      </c>
      <c r="U27" s="2">
        <v>10</v>
      </c>
      <c r="V27" s="3">
        <v>10</v>
      </c>
      <c r="W27" s="3"/>
      <c r="X27" s="1"/>
      <c r="Y27" s="24">
        <f t="shared" si="3"/>
        <v>2.5</v>
      </c>
      <c r="Z27" s="2"/>
      <c r="AA27" s="26"/>
      <c r="AB27" s="29"/>
      <c r="AC27" s="26"/>
      <c r="AD27" s="24" t="e">
        <f t="shared" si="4"/>
        <v>#DIV/0!</v>
      </c>
      <c r="AE27" s="23" t="e">
        <f t="shared" si="1"/>
        <v>#DIV/0!</v>
      </c>
      <c r="AF27" s="4"/>
      <c r="AG27" s="2"/>
    </row>
    <row r="28" spans="1:33" ht="15" customHeight="1">
      <c r="A28" s="13">
        <v>21</v>
      </c>
      <c r="B28" s="40">
        <v>2001731262</v>
      </c>
      <c r="C28" s="33" t="s">
        <v>47</v>
      </c>
      <c r="D28" s="25">
        <v>10</v>
      </c>
      <c r="E28" s="3">
        <v>10</v>
      </c>
      <c r="F28" s="3">
        <v>10</v>
      </c>
      <c r="G28" s="3">
        <v>0</v>
      </c>
      <c r="H28" s="3">
        <v>10</v>
      </c>
      <c r="I28" s="3">
        <v>5</v>
      </c>
      <c r="J28" s="3">
        <v>10</v>
      </c>
      <c r="K28" s="3"/>
      <c r="L28" s="3"/>
      <c r="M28" s="3"/>
      <c r="N28" s="3"/>
      <c r="O28" s="22">
        <f t="shared" si="0"/>
        <v>1.9642857142857142</v>
      </c>
      <c r="P28" s="1">
        <v>5</v>
      </c>
      <c r="Q28" s="1"/>
      <c r="R28" s="1"/>
      <c r="S28" s="1"/>
      <c r="T28" s="22">
        <f t="shared" si="2"/>
        <v>1.25</v>
      </c>
      <c r="U28" s="2">
        <v>10</v>
      </c>
      <c r="V28" s="3"/>
      <c r="W28" s="3"/>
      <c r="X28" s="1"/>
      <c r="Y28" s="24">
        <f t="shared" si="3"/>
        <v>2.5</v>
      </c>
      <c r="Z28" s="2"/>
      <c r="AA28" s="26"/>
      <c r="AB28" s="29"/>
      <c r="AC28" s="26"/>
      <c r="AD28" s="24" t="e">
        <f t="shared" si="4"/>
        <v>#DIV/0!</v>
      </c>
      <c r="AE28" s="23" t="e">
        <f t="shared" si="1"/>
        <v>#DIV/0!</v>
      </c>
      <c r="AF28" s="4"/>
      <c r="AG28" s="2"/>
    </row>
    <row r="29" spans="1:33" ht="15" customHeight="1">
      <c r="A29" s="13">
        <v>22</v>
      </c>
      <c r="B29" s="40">
        <v>1601525514</v>
      </c>
      <c r="C29" s="33" t="s">
        <v>48</v>
      </c>
      <c r="D29" s="25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/>
      <c r="L29" s="3"/>
      <c r="M29" s="3"/>
      <c r="N29" s="3"/>
      <c r="O29" s="22">
        <f t="shared" si="0"/>
        <v>2.5</v>
      </c>
      <c r="P29" s="1">
        <v>10</v>
      </c>
      <c r="Q29" s="1"/>
      <c r="R29" s="1"/>
      <c r="S29" s="1"/>
      <c r="T29" s="22">
        <f t="shared" si="2"/>
        <v>2.5</v>
      </c>
      <c r="U29" s="2">
        <v>10</v>
      </c>
      <c r="V29" s="3"/>
      <c r="W29" s="3"/>
      <c r="X29" s="1"/>
      <c r="Y29" s="24">
        <f t="shared" si="3"/>
        <v>2.5</v>
      </c>
      <c r="Z29" s="2"/>
      <c r="AA29" s="26"/>
      <c r="AB29" s="29"/>
      <c r="AC29" s="26"/>
      <c r="AD29" s="24" t="e">
        <f t="shared" si="4"/>
        <v>#DIV/0!</v>
      </c>
      <c r="AE29" s="23" t="e">
        <f t="shared" si="1"/>
        <v>#DIV/0!</v>
      </c>
      <c r="AF29" s="4"/>
      <c r="AG29" s="2"/>
    </row>
    <row r="30" spans="1:33" ht="15" customHeight="1">
      <c r="A30" s="13">
        <v>23</v>
      </c>
      <c r="B30" s="40">
        <v>1727780</v>
      </c>
      <c r="C30" s="33" t="s">
        <v>49</v>
      </c>
      <c r="D30" s="25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/>
      <c r="M30" s="3"/>
      <c r="N30" s="3"/>
      <c r="O30" s="22">
        <f t="shared" si="0"/>
        <v>2.5</v>
      </c>
      <c r="P30" s="1">
        <v>10</v>
      </c>
      <c r="Q30" s="1">
        <v>10</v>
      </c>
      <c r="R30" s="1"/>
      <c r="S30" s="1"/>
      <c r="T30" s="22">
        <f t="shared" si="2"/>
        <v>2.5</v>
      </c>
      <c r="U30" s="2">
        <v>10</v>
      </c>
      <c r="V30" s="3">
        <v>0</v>
      </c>
      <c r="W30" s="3"/>
      <c r="X30" s="1"/>
      <c r="Y30" s="24">
        <f t="shared" si="3"/>
        <v>1.25</v>
      </c>
      <c r="Z30" s="2"/>
      <c r="AA30" s="26"/>
      <c r="AB30" s="29"/>
      <c r="AC30" s="26"/>
      <c r="AD30" s="24" t="e">
        <f t="shared" si="4"/>
        <v>#DIV/0!</v>
      </c>
      <c r="AE30" s="23" t="e">
        <f t="shared" si="1"/>
        <v>#DIV/0!</v>
      </c>
      <c r="AF30" s="4"/>
      <c r="AG30" s="2"/>
    </row>
    <row r="31" spans="1:33" ht="15" customHeight="1">
      <c r="A31" s="13">
        <v>24</v>
      </c>
      <c r="B31" s="40">
        <v>1727786</v>
      </c>
      <c r="C31" s="33" t="s">
        <v>50</v>
      </c>
      <c r="D31" s="25">
        <v>10</v>
      </c>
      <c r="E31" s="3">
        <v>5</v>
      </c>
      <c r="F31" s="3">
        <v>10</v>
      </c>
      <c r="G31" s="3">
        <v>10</v>
      </c>
      <c r="H31" s="3">
        <v>10</v>
      </c>
      <c r="I31" s="3">
        <v>10</v>
      </c>
      <c r="J31" s="3">
        <v>10</v>
      </c>
      <c r="K31" s="3"/>
      <c r="L31" s="3"/>
      <c r="M31" s="3"/>
      <c r="N31" s="3"/>
      <c r="O31" s="22">
        <f t="shared" si="0"/>
        <v>2.3214285714285716</v>
      </c>
      <c r="P31" s="1">
        <v>10</v>
      </c>
      <c r="Q31" s="1"/>
      <c r="R31" s="1"/>
      <c r="S31" s="1"/>
      <c r="T31" s="22">
        <f t="shared" si="2"/>
        <v>2.5</v>
      </c>
      <c r="U31" s="2">
        <v>10</v>
      </c>
      <c r="V31" s="3"/>
      <c r="W31" s="3"/>
      <c r="X31" s="1"/>
      <c r="Y31" s="24">
        <f t="shared" si="3"/>
        <v>2.5</v>
      </c>
      <c r="Z31" s="2"/>
      <c r="AA31" s="26"/>
      <c r="AB31" s="29"/>
      <c r="AC31" s="26"/>
      <c r="AD31" s="24" t="e">
        <f t="shared" si="4"/>
        <v>#DIV/0!</v>
      </c>
      <c r="AE31" s="23" t="e">
        <f t="shared" si="1"/>
        <v>#DIV/0!</v>
      </c>
      <c r="AF31" s="4"/>
      <c r="AG31" s="2"/>
    </row>
    <row r="32" spans="1:33" ht="15" customHeight="1">
      <c r="A32" s="13">
        <v>25</v>
      </c>
      <c r="B32" s="40">
        <v>1727929</v>
      </c>
      <c r="C32" s="33" t="s">
        <v>51</v>
      </c>
      <c r="D32" s="25">
        <v>10</v>
      </c>
      <c r="E32" s="3">
        <v>10</v>
      </c>
      <c r="F32" s="3">
        <v>10</v>
      </c>
      <c r="G32" s="3">
        <v>10</v>
      </c>
      <c r="H32" s="3">
        <v>10</v>
      </c>
      <c r="I32" s="3">
        <v>5</v>
      </c>
      <c r="J32" s="3">
        <v>10</v>
      </c>
      <c r="K32" s="3">
        <v>10</v>
      </c>
      <c r="L32" s="3"/>
      <c r="M32" s="3"/>
      <c r="N32" s="3"/>
      <c r="O32" s="22">
        <f t="shared" si="0"/>
        <v>2.34375</v>
      </c>
      <c r="P32" s="1">
        <v>10</v>
      </c>
      <c r="Q32" s="1">
        <v>10</v>
      </c>
      <c r="R32" s="1"/>
      <c r="S32" s="1"/>
      <c r="T32" s="22">
        <f t="shared" si="2"/>
        <v>2.5</v>
      </c>
      <c r="U32" s="2">
        <v>10</v>
      </c>
      <c r="V32" s="3">
        <v>10</v>
      </c>
      <c r="W32" s="3"/>
      <c r="X32" s="1"/>
      <c r="Y32" s="24">
        <f t="shared" si="3"/>
        <v>2.5</v>
      </c>
      <c r="Z32" s="2"/>
      <c r="AA32" s="26"/>
      <c r="AB32" s="29"/>
      <c r="AC32" s="26"/>
      <c r="AD32" s="24" t="e">
        <f t="shared" si="4"/>
        <v>#DIV/0!</v>
      </c>
      <c r="AE32" s="23" t="e">
        <f t="shared" si="1"/>
        <v>#DIV/0!</v>
      </c>
      <c r="AF32" s="4"/>
      <c r="AG32" s="2"/>
    </row>
    <row r="33" spans="1:33" ht="15" customHeight="1">
      <c r="A33" s="13">
        <v>26</v>
      </c>
      <c r="B33" s="40">
        <v>1701575148</v>
      </c>
      <c r="C33" s="33" t="s">
        <v>52</v>
      </c>
      <c r="D33" s="25">
        <v>10</v>
      </c>
      <c r="E33" s="3">
        <v>10</v>
      </c>
      <c r="F33" s="3">
        <v>10</v>
      </c>
      <c r="G33" s="3">
        <v>10</v>
      </c>
      <c r="H33" s="3">
        <v>10</v>
      </c>
      <c r="I33" s="3">
        <v>10</v>
      </c>
      <c r="J33" s="3">
        <v>10</v>
      </c>
      <c r="K33" s="3">
        <v>10</v>
      </c>
      <c r="L33" s="3"/>
      <c r="M33" s="3"/>
      <c r="N33" s="3"/>
      <c r="O33" s="22">
        <f t="shared" si="0"/>
        <v>2.5</v>
      </c>
      <c r="P33" s="1">
        <v>10</v>
      </c>
      <c r="Q33" s="1">
        <v>10</v>
      </c>
      <c r="R33" s="1"/>
      <c r="S33" s="1"/>
      <c r="T33" s="22">
        <f t="shared" si="2"/>
        <v>2.5</v>
      </c>
      <c r="U33" s="2">
        <v>0</v>
      </c>
      <c r="V33" s="3">
        <v>0</v>
      </c>
      <c r="W33" s="3"/>
      <c r="X33" s="1"/>
      <c r="Y33" s="24">
        <f t="shared" si="3"/>
        <v>0</v>
      </c>
      <c r="Z33" s="2"/>
      <c r="AA33" s="26"/>
      <c r="AB33" s="29"/>
      <c r="AC33" s="26"/>
      <c r="AD33" s="24" t="e">
        <f t="shared" si="4"/>
        <v>#DIV/0!</v>
      </c>
      <c r="AE33" s="23" t="e">
        <f t="shared" si="1"/>
        <v>#DIV/0!</v>
      </c>
      <c r="AF33" s="4"/>
      <c r="AG33" s="2"/>
    </row>
    <row r="34" spans="1:33" ht="15" customHeight="1">
      <c r="A34" s="13">
        <v>27</v>
      </c>
      <c r="B34" s="40">
        <v>1801650722</v>
      </c>
      <c r="C34" s="33" t="s">
        <v>53</v>
      </c>
      <c r="D34" s="25">
        <v>10</v>
      </c>
      <c r="E34" s="3">
        <v>10</v>
      </c>
      <c r="F34" s="3">
        <v>10</v>
      </c>
      <c r="G34" s="3">
        <v>10</v>
      </c>
      <c r="H34" s="3">
        <v>10</v>
      </c>
      <c r="I34" s="3">
        <v>10</v>
      </c>
      <c r="J34" s="3">
        <v>5</v>
      </c>
      <c r="K34" s="3">
        <v>0</v>
      </c>
      <c r="L34" s="3"/>
      <c r="M34" s="3"/>
      <c r="N34" s="3"/>
      <c r="O34" s="22">
        <f t="shared" si="0"/>
        <v>2.03125</v>
      </c>
      <c r="P34" s="1">
        <v>10</v>
      </c>
      <c r="Q34" s="1">
        <v>0</v>
      </c>
      <c r="R34" s="1"/>
      <c r="S34" s="1"/>
      <c r="T34" s="22">
        <f t="shared" si="2"/>
        <v>1.25</v>
      </c>
      <c r="U34" s="2">
        <v>10</v>
      </c>
      <c r="V34" s="3">
        <v>0</v>
      </c>
      <c r="W34" s="3"/>
      <c r="X34" s="1"/>
      <c r="Y34" s="24">
        <f t="shared" si="3"/>
        <v>1.25</v>
      </c>
      <c r="Z34" s="2"/>
      <c r="AA34" s="26"/>
      <c r="AB34" s="29"/>
      <c r="AC34" s="26"/>
      <c r="AD34" s="24" t="e">
        <f t="shared" si="4"/>
        <v>#DIV/0!</v>
      </c>
      <c r="AE34" s="23" t="e">
        <f t="shared" si="1"/>
        <v>#DIV/0!</v>
      </c>
      <c r="AF34" s="4"/>
      <c r="AG34" s="2"/>
    </row>
    <row r="35" spans="1:33" ht="15" customHeight="1">
      <c r="A35" s="13">
        <v>28</v>
      </c>
      <c r="B35" s="40">
        <v>1801625752</v>
      </c>
      <c r="C35" s="33" t="s">
        <v>54</v>
      </c>
      <c r="D35" s="25">
        <v>10</v>
      </c>
      <c r="E35" s="3">
        <v>10</v>
      </c>
      <c r="F35" s="3">
        <v>10</v>
      </c>
      <c r="G35" s="3">
        <v>10</v>
      </c>
      <c r="H35" s="3">
        <v>10</v>
      </c>
      <c r="I35" s="3">
        <v>5</v>
      </c>
      <c r="J35" s="3">
        <v>10</v>
      </c>
      <c r="K35" s="3">
        <v>10</v>
      </c>
      <c r="L35" s="3"/>
      <c r="M35" s="3"/>
      <c r="N35" s="3"/>
      <c r="O35" s="22">
        <f t="shared" si="0"/>
        <v>2.34375</v>
      </c>
      <c r="P35" s="1">
        <v>10</v>
      </c>
      <c r="Q35" s="1">
        <v>10</v>
      </c>
      <c r="R35" s="1"/>
      <c r="S35" s="1"/>
      <c r="T35" s="22">
        <f t="shared" si="2"/>
        <v>2.5</v>
      </c>
      <c r="U35" s="2">
        <v>10</v>
      </c>
      <c r="V35" s="3">
        <v>10</v>
      </c>
      <c r="W35" s="3"/>
      <c r="X35" s="1"/>
      <c r="Y35" s="24">
        <f t="shared" si="3"/>
        <v>2.5</v>
      </c>
      <c r="Z35" s="2"/>
      <c r="AA35" s="26"/>
      <c r="AB35" s="29"/>
      <c r="AC35" s="26"/>
      <c r="AD35" s="24" t="e">
        <f t="shared" si="4"/>
        <v>#DIV/0!</v>
      </c>
      <c r="AE35" s="23" t="e">
        <f t="shared" si="1"/>
        <v>#DIV/0!</v>
      </c>
      <c r="AF35" s="4"/>
      <c r="AG35" s="2"/>
    </row>
    <row r="36" spans="1:33" ht="15" customHeight="1">
      <c r="A36" s="13">
        <v>29</v>
      </c>
      <c r="B36" s="40">
        <v>1727707</v>
      </c>
      <c r="C36" s="33" t="s">
        <v>55</v>
      </c>
      <c r="D36" s="25">
        <v>10</v>
      </c>
      <c r="E36" s="3">
        <v>10</v>
      </c>
      <c r="F36" s="3">
        <v>10</v>
      </c>
      <c r="G36" s="3">
        <v>10</v>
      </c>
      <c r="H36" s="3">
        <v>10</v>
      </c>
      <c r="I36" s="3">
        <v>10</v>
      </c>
      <c r="J36" s="3">
        <v>10</v>
      </c>
      <c r="K36" s="3">
        <v>10</v>
      </c>
      <c r="L36" s="3"/>
      <c r="M36" s="3"/>
      <c r="N36" s="3"/>
      <c r="O36" s="22">
        <f t="shared" si="0"/>
        <v>2.5</v>
      </c>
      <c r="P36" s="1">
        <v>10</v>
      </c>
      <c r="Q36" s="1">
        <v>10</v>
      </c>
      <c r="R36" s="1"/>
      <c r="S36" s="1"/>
      <c r="T36" s="22">
        <f t="shared" si="2"/>
        <v>2.5</v>
      </c>
      <c r="U36" s="2">
        <v>10</v>
      </c>
      <c r="V36" s="3">
        <v>10</v>
      </c>
      <c r="W36" s="3"/>
      <c r="X36" s="1"/>
      <c r="Y36" s="24">
        <f t="shared" si="3"/>
        <v>2.5</v>
      </c>
      <c r="Z36" s="2"/>
      <c r="AA36" s="26"/>
      <c r="AB36" s="29"/>
      <c r="AC36" s="26"/>
      <c r="AD36" s="24" t="e">
        <f t="shared" si="4"/>
        <v>#DIV/0!</v>
      </c>
      <c r="AE36" s="23" t="e">
        <f t="shared" si="1"/>
        <v>#DIV/0!</v>
      </c>
      <c r="AF36" s="4"/>
      <c r="AG36" s="2"/>
    </row>
    <row r="37" spans="1:33" ht="15" customHeight="1">
      <c r="A37" s="13">
        <v>30</v>
      </c>
      <c r="B37" s="40">
        <v>202300016</v>
      </c>
      <c r="C37" s="33" t="s">
        <v>56</v>
      </c>
      <c r="D37" s="25">
        <v>10</v>
      </c>
      <c r="E37" s="3">
        <v>10</v>
      </c>
      <c r="F37" s="3">
        <v>10</v>
      </c>
      <c r="G37" s="3">
        <v>10</v>
      </c>
      <c r="H37" s="3">
        <v>10</v>
      </c>
      <c r="I37" s="3">
        <v>5</v>
      </c>
      <c r="J37" s="3">
        <v>10</v>
      </c>
      <c r="K37" s="3">
        <v>10</v>
      </c>
      <c r="L37" s="3"/>
      <c r="M37" s="3"/>
      <c r="N37" s="3"/>
      <c r="O37" s="22">
        <f t="shared" si="0"/>
        <v>2.34375</v>
      </c>
      <c r="P37" s="1">
        <v>10</v>
      </c>
      <c r="Q37" s="1">
        <v>10</v>
      </c>
      <c r="R37" s="1"/>
      <c r="S37" s="1"/>
      <c r="T37" s="22">
        <f t="shared" si="2"/>
        <v>2.5</v>
      </c>
      <c r="U37" s="2">
        <v>10</v>
      </c>
      <c r="V37" s="3">
        <v>10</v>
      </c>
      <c r="W37" s="3"/>
      <c r="X37" s="1"/>
      <c r="Y37" s="24">
        <f t="shared" si="3"/>
        <v>2.5</v>
      </c>
      <c r="Z37" s="2"/>
      <c r="AA37" s="26"/>
      <c r="AB37" s="29"/>
      <c r="AC37" s="26"/>
      <c r="AD37" s="24" t="e">
        <f t="shared" ref="AD37:AD40" si="5">AVERAGE(Z37:AC37)/4</f>
        <v>#DIV/0!</v>
      </c>
      <c r="AE37" s="23" t="e">
        <f t="shared" si="1"/>
        <v>#DIV/0!</v>
      </c>
      <c r="AF37" s="4"/>
      <c r="AG37" s="2"/>
    </row>
    <row r="38" spans="1:33" ht="15" customHeight="1">
      <c r="A38" s="13">
        <v>31</v>
      </c>
      <c r="B38" s="40">
        <v>1901656434</v>
      </c>
      <c r="C38" s="33" t="s">
        <v>57</v>
      </c>
      <c r="D38" s="25">
        <v>10</v>
      </c>
      <c r="E38" s="3">
        <v>10</v>
      </c>
      <c r="F38" s="3">
        <v>10</v>
      </c>
      <c r="G38" s="3">
        <v>10</v>
      </c>
      <c r="H38" s="3">
        <v>10</v>
      </c>
      <c r="I38" s="3">
        <v>10</v>
      </c>
      <c r="J38" s="3">
        <v>10</v>
      </c>
      <c r="K38" s="3">
        <v>10</v>
      </c>
      <c r="L38" s="3"/>
      <c r="M38" s="3"/>
      <c r="N38" s="3"/>
      <c r="O38" s="22">
        <f t="shared" si="0"/>
        <v>2.5</v>
      </c>
      <c r="P38" s="1">
        <v>10</v>
      </c>
      <c r="Q38" s="1">
        <v>10</v>
      </c>
      <c r="R38" s="1"/>
      <c r="S38" s="1"/>
      <c r="T38" s="22">
        <f t="shared" si="2"/>
        <v>2.5</v>
      </c>
      <c r="U38" s="2">
        <v>10</v>
      </c>
      <c r="V38" s="3">
        <v>10</v>
      </c>
      <c r="W38" s="3"/>
      <c r="X38" s="1"/>
      <c r="Y38" s="24">
        <f t="shared" si="3"/>
        <v>2.5</v>
      </c>
      <c r="Z38" s="2"/>
      <c r="AA38" s="26"/>
      <c r="AB38" s="29"/>
      <c r="AC38" s="26"/>
      <c r="AD38" s="24" t="e">
        <f t="shared" si="5"/>
        <v>#DIV/0!</v>
      </c>
      <c r="AE38" s="23" t="e">
        <f t="shared" si="1"/>
        <v>#DIV/0!</v>
      </c>
      <c r="AF38" s="4"/>
      <c r="AG38" s="2"/>
    </row>
    <row r="39" spans="1:33" ht="15" customHeight="1">
      <c r="A39" s="13">
        <v>32</v>
      </c>
      <c r="B39" s="40">
        <v>1727776</v>
      </c>
      <c r="C39" s="33" t="s">
        <v>58</v>
      </c>
      <c r="D39" s="25">
        <v>10</v>
      </c>
      <c r="E39" s="3">
        <v>10</v>
      </c>
      <c r="F39" s="3">
        <v>10</v>
      </c>
      <c r="G39" s="3">
        <v>10</v>
      </c>
      <c r="H39" s="3">
        <v>10</v>
      </c>
      <c r="I39" s="3">
        <v>10</v>
      </c>
      <c r="J39" s="3">
        <v>5</v>
      </c>
      <c r="K39" s="3">
        <v>10</v>
      </c>
      <c r="L39" s="3"/>
      <c r="M39" s="3"/>
      <c r="N39" s="3"/>
      <c r="O39" s="22">
        <f t="shared" si="0"/>
        <v>2.34375</v>
      </c>
      <c r="P39" s="1">
        <v>10</v>
      </c>
      <c r="Q39" s="1">
        <v>10</v>
      </c>
      <c r="R39" s="1"/>
      <c r="S39" s="1"/>
      <c r="T39" s="22">
        <f t="shared" si="2"/>
        <v>2.5</v>
      </c>
      <c r="U39" s="2">
        <v>10</v>
      </c>
      <c r="V39" s="3">
        <v>10</v>
      </c>
      <c r="W39" s="3"/>
      <c r="X39" s="1"/>
      <c r="Y39" s="24">
        <f t="shared" si="3"/>
        <v>2.5</v>
      </c>
      <c r="Z39" s="2"/>
      <c r="AA39" s="26"/>
      <c r="AB39" s="29"/>
      <c r="AC39" s="26"/>
      <c r="AD39" s="24" t="e">
        <f t="shared" si="5"/>
        <v>#DIV/0!</v>
      </c>
      <c r="AE39" s="23" t="e">
        <f t="shared" si="1"/>
        <v>#DIV/0!</v>
      </c>
      <c r="AF39" s="4"/>
      <c r="AG39" s="2"/>
    </row>
    <row r="40" spans="1:33" ht="15" customHeight="1">
      <c r="A40" s="13">
        <v>33</v>
      </c>
      <c r="B40" s="40">
        <v>2001728855</v>
      </c>
      <c r="C40" s="33" t="s">
        <v>59</v>
      </c>
      <c r="D40" s="25">
        <v>10</v>
      </c>
      <c r="E40" s="3">
        <v>10</v>
      </c>
      <c r="F40" s="3">
        <v>10</v>
      </c>
      <c r="G40" s="3">
        <v>10</v>
      </c>
      <c r="H40" s="3">
        <v>10</v>
      </c>
      <c r="I40" s="3">
        <v>10</v>
      </c>
      <c r="J40" s="3">
        <v>10</v>
      </c>
      <c r="K40" s="3">
        <v>10</v>
      </c>
      <c r="L40" s="3"/>
      <c r="M40" s="3"/>
      <c r="N40" s="3"/>
      <c r="O40" s="22">
        <f t="shared" ref="O40" si="6">AVERAGE(D40:N40)/4</f>
        <v>2.5</v>
      </c>
      <c r="P40" s="1">
        <v>10</v>
      </c>
      <c r="Q40" s="1">
        <v>10</v>
      </c>
      <c r="R40" s="1"/>
      <c r="S40" s="1"/>
      <c r="T40" s="22">
        <f t="shared" si="2"/>
        <v>2.5</v>
      </c>
      <c r="U40" s="2">
        <v>10</v>
      </c>
      <c r="V40" s="3">
        <v>10</v>
      </c>
      <c r="W40" s="3"/>
      <c r="X40" s="1"/>
      <c r="Y40" s="24">
        <f t="shared" ref="Y40" si="7">AVERAGE(U40:X40)/4</f>
        <v>2.5</v>
      </c>
      <c r="Z40" s="2"/>
      <c r="AA40" s="26"/>
      <c r="AB40" s="29"/>
      <c r="AC40" s="26"/>
      <c r="AD40" s="24" t="e">
        <f t="shared" si="5"/>
        <v>#DIV/0!</v>
      </c>
      <c r="AE40" s="23" t="e">
        <f t="shared" si="1"/>
        <v>#DIV/0!</v>
      </c>
      <c r="AF40" s="4"/>
      <c r="AG40" s="2"/>
    </row>
    <row r="41" spans="1:33" ht="14.45">
      <c r="A41" s="36"/>
      <c r="B41" s="36"/>
    </row>
    <row r="42" spans="1:33" ht="14.45">
      <c r="A42" s="17" t="s">
        <v>60</v>
      </c>
      <c r="B42" s="4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6"/>
    </row>
    <row r="43" spans="1:33" ht="14.45">
      <c r="A43" s="17"/>
      <c r="B43" s="41"/>
      <c r="AG43" s="18"/>
    </row>
    <row r="44" spans="1:33" ht="14.45">
      <c r="A44" s="17"/>
      <c r="B44" s="41"/>
      <c r="AG44" s="18"/>
    </row>
    <row r="45" spans="1:33" ht="14.45">
      <c r="A45" s="17"/>
      <c r="B45" s="41"/>
      <c r="AG45" s="18"/>
    </row>
    <row r="46" spans="1:33" ht="14.45">
      <c r="A46" s="17"/>
      <c r="B46" s="41"/>
      <c r="AG46" s="18"/>
    </row>
    <row r="47" spans="1:33" ht="14.45">
      <c r="A47" s="17"/>
      <c r="B47" s="41"/>
      <c r="AG47" s="18"/>
    </row>
    <row r="48" spans="1:33" ht="14.45">
      <c r="A48" s="17"/>
      <c r="B48" s="41"/>
      <c r="AG48" s="18"/>
    </row>
    <row r="49" spans="1:33" ht="14.45">
      <c r="A49" s="17"/>
      <c r="B49" s="41"/>
      <c r="AG49" s="18"/>
    </row>
    <row r="50" spans="1:33" ht="14.45">
      <c r="A50" s="17"/>
      <c r="B50" s="41"/>
      <c r="AG50" s="18"/>
    </row>
    <row r="51" spans="1:33" ht="14.45">
      <c r="A51" s="17"/>
      <c r="B51" s="41"/>
      <c r="AG51" s="18"/>
    </row>
    <row r="52" spans="1:33" ht="14.45">
      <c r="A52" s="17"/>
      <c r="B52" s="41"/>
      <c r="AG52" s="18"/>
    </row>
    <row r="53" spans="1:33" ht="14.45">
      <c r="A53" s="17"/>
      <c r="B53" s="41"/>
      <c r="AG53" s="18"/>
    </row>
    <row r="54" spans="1:33" ht="14.45">
      <c r="A54" s="17"/>
      <c r="B54" s="41"/>
      <c r="AG54" s="18"/>
    </row>
    <row r="55" spans="1:33" ht="14.45">
      <c r="A55" s="17"/>
      <c r="B55" s="41"/>
      <c r="AG55" s="18"/>
    </row>
    <row r="56" spans="1:33" ht="14.45">
      <c r="A56" s="17"/>
      <c r="B56" s="41"/>
      <c r="AG56" s="18"/>
    </row>
    <row r="57" spans="1:33" ht="14.45">
      <c r="A57" s="17"/>
      <c r="B57" s="41"/>
      <c r="AG57" s="18"/>
    </row>
    <row r="58" spans="1:33" ht="14.45">
      <c r="A58" s="17"/>
      <c r="B58" s="41"/>
      <c r="AG58" s="18"/>
    </row>
    <row r="59" spans="1:33" ht="14.45">
      <c r="A59" s="17"/>
      <c r="B59" s="41"/>
      <c r="AG59" s="18"/>
    </row>
    <row r="60" spans="1:33" ht="14.45">
      <c r="A60" s="17"/>
      <c r="B60" s="41"/>
      <c r="AG60" s="18"/>
    </row>
    <row r="61" spans="1:33" ht="14.45">
      <c r="A61" s="17"/>
      <c r="B61" s="41"/>
      <c r="AG61" s="18"/>
    </row>
    <row r="62" spans="1:33" ht="14.45">
      <c r="A62" s="17"/>
      <c r="B62" s="41"/>
      <c r="AG62" s="18"/>
    </row>
    <row r="63" spans="1:33" ht="14.45">
      <c r="A63" s="17"/>
      <c r="B63" s="41"/>
      <c r="AG63" s="18"/>
    </row>
    <row r="64" spans="1:33" ht="14.45">
      <c r="A64" s="17"/>
      <c r="B64" s="41"/>
      <c r="AG64" s="18"/>
    </row>
    <row r="65" spans="1:33" ht="14.45">
      <c r="A65" s="17"/>
      <c r="B65" s="41"/>
      <c r="AG65" s="18"/>
    </row>
    <row r="66" spans="1:33" ht="14.45">
      <c r="A66" s="17"/>
      <c r="B66" s="41"/>
      <c r="AG66" s="18"/>
    </row>
    <row r="67" spans="1:33" ht="14.45">
      <c r="A67" s="17"/>
      <c r="B67" s="41"/>
      <c r="AG67" s="18"/>
    </row>
    <row r="68" spans="1:33" ht="14.45">
      <c r="A68" s="17"/>
      <c r="B68" s="41"/>
      <c r="AG68" s="18"/>
    </row>
    <row r="69" spans="1:33" ht="14.45">
      <c r="A69" s="17"/>
      <c r="B69" s="41"/>
      <c r="AG69" s="18"/>
    </row>
    <row r="70" spans="1:33" ht="14.45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1"/>
    </row>
  </sheetData>
  <sortState xmlns:xlrd2="http://schemas.microsoft.com/office/spreadsheetml/2017/richdata2" ref="C8:C43">
    <sortCondition ref="C8:C43"/>
  </sortState>
  <mergeCells count="37">
    <mergeCell ref="AD5:AD7"/>
    <mergeCell ref="V5:V7"/>
    <mergeCell ref="AC5:AC7"/>
    <mergeCell ref="AA5:AA7"/>
    <mergeCell ref="Z5:Z7"/>
    <mergeCell ref="AB5:AB7"/>
    <mergeCell ref="W5:W7"/>
    <mergeCell ref="X5:X7"/>
    <mergeCell ref="Y5:Y7"/>
    <mergeCell ref="D1:AC2"/>
    <mergeCell ref="T5:T7"/>
    <mergeCell ref="Q5:Q7"/>
    <mergeCell ref="R5:R7"/>
    <mergeCell ref="G5:G7"/>
    <mergeCell ref="H5:H7"/>
    <mergeCell ref="I5:I7"/>
    <mergeCell ref="N5:N7"/>
    <mergeCell ref="L5:L7"/>
    <mergeCell ref="M5:M7"/>
    <mergeCell ref="J5:J7"/>
    <mergeCell ref="K5:K7"/>
    <mergeCell ref="AD1:AG2"/>
    <mergeCell ref="D3:AE3"/>
    <mergeCell ref="AF3:AF7"/>
    <mergeCell ref="AG3:AG7"/>
    <mergeCell ref="U4:Y4"/>
    <mergeCell ref="AE4:AE7"/>
    <mergeCell ref="D5:D7"/>
    <mergeCell ref="E5:E7"/>
    <mergeCell ref="F5:F7"/>
    <mergeCell ref="D4:O4"/>
    <mergeCell ref="Z4:AD4"/>
    <mergeCell ref="P4:T4"/>
    <mergeCell ref="S5:S7"/>
    <mergeCell ref="U5:U7"/>
    <mergeCell ref="P5:P7"/>
    <mergeCell ref="O5:O7"/>
  </mergeCells>
  <conditionalFormatting sqref="P8:S40 D8:N40">
    <cfRule type="cellIs" dxfId="12" priority="4" operator="notEqual">
      <formula>10</formula>
    </cfRule>
  </conditionalFormatting>
  <conditionalFormatting sqref="D8:AD40">
    <cfRule type="cellIs" dxfId="11" priority="1" operator="equal">
      <formula>5</formula>
    </cfRule>
    <cfRule type="cellIs" dxfId="10" priority="2" operator="equal">
      <formula>0</formula>
    </cfRule>
  </conditionalFormatting>
  <conditionalFormatting sqref="U8:X40">
    <cfRule type="cellIs" dxfId="9" priority="3" operator="notEqual">
      <formula>10</formula>
    </cfRule>
  </conditionalFormatting>
  <pageMargins left="0.25" right="0.25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70"/>
  <sheetViews>
    <sheetView showGridLines="0" zoomScale="130" zoomScaleNormal="130" workbookViewId="0">
      <selection activeCell="R13" sqref="R13"/>
    </sheetView>
  </sheetViews>
  <sheetFormatPr defaultRowHeight="15" customHeight="1"/>
  <cols>
    <col min="1" max="1" width="5.140625" customWidth="1"/>
    <col min="2" max="2" width="10.28515625" bestFit="1" customWidth="1"/>
    <col min="3" max="3" width="40.42578125" customWidth="1"/>
    <col min="4" max="26" width="4.5703125" customWidth="1"/>
    <col min="27" max="27" width="8.85546875" customWidth="1"/>
    <col min="28" max="28" width="4.5703125" customWidth="1"/>
    <col min="29" max="29" width="4.42578125" customWidth="1"/>
  </cols>
  <sheetData>
    <row r="1" spans="1:29" ht="12.75" customHeight="1">
      <c r="A1" s="7"/>
      <c r="B1" s="8"/>
      <c r="C1" s="8"/>
      <c r="D1" s="78" t="s">
        <v>0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47" t="s">
        <v>61</v>
      </c>
      <c r="AA1" s="47"/>
      <c r="AB1" s="47"/>
      <c r="AC1" s="48"/>
    </row>
    <row r="2" spans="1:29" ht="12.75" customHeight="1">
      <c r="A2" s="9"/>
      <c r="B2" s="37"/>
      <c r="C2" s="10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49"/>
      <c r="AA2" s="49"/>
      <c r="AB2" s="49"/>
      <c r="AC2" s="50"/>
    </row>
    <row r="3" spans="1:29" ht="12.75" customHeight="1">
      <c r="A3" s="5"/>
      <c r="B3" s="38"/>
      <c r="C3" s="6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3"/>
      <c r="AB3" s="54" t="s">
        <v>2</v>
      </c>
      <c r="AC3" s="57" t="s">
        <v>3</v>
      </c>
    </row>
    <row r="4" spans="1:29" ht="12.75" customHeight="1">
      <c r="A4" s="5"/>
      <c r="B4" s="38"/>
      <c r="C4" s="6"/>
      <c r="D4" s="51" t="s">
        <v>62</v>
      </c>
      <c r="E4" s="51"/>
      <c r="F4" s="51"/>
      <c r="G4" s="51"/>
      <c r="H4" s="51"/>
      <c r="I4" s="51"/>
      <c r="J4" s="51"/>
      <c r="K4" s="51"/>
      <c r="L4" s="51" t="s">
        <v>4</v>
      </c>
      <c r="M4" s="51"/>
      <c r="N4" s="51"/>
      <c r="O4" s="51"/>
      <c r="P4" s="53"/>
      <c r="Q4" s="70" t="s">
        <v>5</v>
      </c>
      <c r="R4" s="51"/>
      <c r="S4" s="51"/>
      <c r="T4" s="51"/>
      <c r="U4" s="51"/>
      <c r="V4" s="70" t="s">
        <v>6</v>
      </c>
      <c r="W4" s="51"/>
      <c r="X4" s="51"/>
      <c r="Y4" s="51"/>
      <c r="Z4" s="53"/>
      <c r="AA4" s="60" t="s">
        <v>7</v>
      </c>
      <c r="AB4" s="55"/>
      <c r="AC4" s="58"/>
    </row>
    <row r="5" spans="1:29" ht="13.5" customHeight="1">
      <c r="A5" s="5"/>
      <c r="B5" s="38"/>
      <c r="C5" s="6"/>
      <c r="D5" s="69" t="s">
        <v>8</v>
      </c>
      <c r="E5" s="69" t="s">
        <v>63</v>
      </c>
      <c r="F5" s="69" t="s">
        <v>10</v>
      </c>
      <c r="G5" s="69" t="s">
        <v>64</v>
      </c>
      <c r="H5" s="69" t="s">
        <v>65</v>
      </c>
      <c r="I5" s="69"/>
      <c r="J5" s="69"/>
      <c r="K5" s="83" t="s">
        <v>16</v>
      </c>
      <c r="L5" s="74" t="s">
        <v>17</v>
      </c>
      <c r="M5" s="74" t="s">
        <v>18</v>
      </c>
      <c r="N5" s="74" t="s">
        <v>19</v>
      </c>
      <c r="O5" s="74" t="s">
        <v>20</v>
      </c>
      <c r="P5" s="83" t="s">
        <v>16</v>
      </c>
      <c r="Q5" s="74" t="s">
        <v>21</v>
      </c>
      <c r="R5" s="74" t="s">
        <v>18</v>
      </c>
      <c r="S5" s="74" t="s">
        <v>19</v>
      </c>
      <c r="T5" s="74" t="s">
        <v>20</v>
      </c>
      <c r="U5" s="80" t="s">
        <v>16</v>
      </c>
      <c r="V5" s="74" t="s">
        <v>21</v>
      </c>
      <c r="W5" s="74" t="s">
        <v>18</v>
      </c>
      <c r="X5" s="74" t="s">
        <v>19</v>
      </c>
      <c r="Y5" s="74" t="s">
        <v>20</v>
      </c>
      <c r="Z5" s="84" t="s">
        <v>16</v>
      </c>
      <c r="AA5" s="61"/>
      <c r="AB5" s="55"/>
      <c r="AC5" s="58"/>
    </row>
    <row r="6" spans="1:29" ht="14.45" customHeight="1">
      <c r="A6" s="5"/>
      <c r="B6" s="38"/>
      <c r="C6" s="6"/>
      <c r="D6" s="67"/>
      <c r="E6" s="67"/>
      <c r="F6" s="67"/>
      <c r="G6" s="67"/>
      <c r="H6" s="67"/>
      <c r="I6" s="67"/>
      <c r="J6" s="67"/>
      <c r="K6" s="76"/>
      <c r="L6" s="67"/>
      <c r="M6" s="74"/>
      <c r="N6" s="74"/>
      <c r="O6" s="74"/>
      <c r="P6" s="76"/>
      <c r="Q6" s="67"/>
      <c r="R6" s="74"/>
      <c r="S6" s="74"/>
      <c r="T6" s="74"/>
      <c r="U6" s="81"/>
      <c r="V6" s="67"/>
      <c r="W6" s="74"/>
      <c r="X6" s="74"/>
      <c r="Y6" s="74"/>
      <c r="Z6" s="85"/>
      <c r="AA6" s="61"/>
      <c r="AB6" s="55"/>
      <c r="AC6" s="58"/>
    </row>
    <row r="7" spans="1:29" ht="14.45" customHeight="1">
      <c r="A7" s="11" t="s">
        <v>23</v>
      </c>
      <c r="B7" s="39" t="s">
        <v>24</v>
      </c>
      <c r="C7" s="12" t="s">
        <v>25</v>
      </c>
      <c r="D7" s="68"/>
      <c r="E7" s="68"/>
      <c r="F7" s="68"/>
      <c r="G7" s="68"/>
      <c r="H7" s="68"/>
      <c r="I7" s="68"/>
      <c r="J7" s="68"/>
      <c r="K7" s="77"/>
      <c r="L7" s="68"/>
      <c r="M7" s="75"/>
      <c r="N7" s="75"/>
      <c r="O7" s="75"/>
      <c r="P7" s="77"/>
      <c r="Q7" s="68"/>
      <c r="R7" s="75"/>
      <c r="S7" s="75"/>
      <c r="T7" s="75"/>
      <c r="U7" s="82"/>
      <c r="V7" s="68"/>
      <c r="W7" s="75"/>
      <c r="X7" s="75"/>
      <c r="Y7" s="75"/>
      <c r="Z7" s="86"/>
      <c r="AA7" s="62"/>
      <c r="AB7" s="56"/>
      <c r="AC7" s="59"/>
    </row>
    <row r="8" spans="1:29" ht="14.45">
      <c r="A8" s="13">
        <v>1</v>
      </c>
      <c r="B8" s="40">
        <v>1728112</v>
      </c>
      <c r="C8" s="34" t="s">
        <v>66</v>
      </c>
      <c r="D8" s="1">
        <v>10</v>
      </c>
      <c r="E8" s="3">
        <v>10</v>
      </c>
      <c r="F8" s="3">
        <v>10</v>
      </c>
      <c r="G8" s="3">
        <v>10</v>
      </c>
      <c r="H8" s="3">
        <v>10</v>
      </c>
      <c r="I8" s="3"/>
      <c r="J8" s="3"/>
      <c r="K8" s="22">
        <f t="shared" ref="K8:K39" si="0">AVERAGE(D8:J8)/4</f>
        <v>2.5</v>
      </c>
      <c r="L8" s="3">
        <v>10</v>
      </c>
      <c r="M8" s="3"/>
      <c r="N8" s="1"/>
      <c r="O8" s="1"/>
      <c r="P8" s="22">
        <f t="shared" ref="P8:P39" si="1">AVERAGE(L8:O8)/4</f>
        <v>2.5</v>
      </c>
      <c r="Q8" s="2">
        <v>10</v>
      </c>
      <c r="R8" s="3"/>
      <c r="S8" s="3"/>
      <c r="T8" s="1"/>
      <c r="U8" s="24">
        <f t="shared" ref="U8:U39" si="2">AVERAGE(Q8:T8)/4</f>
        <v>2.5</v>
      </c>
      <c r="V8" s="2"/>
      <c r="W8" s="26"/>
      <c r="X8" s="29"/>
      <c r="Y8" s="26"/>
      <c r="Z8" s="24" t="e">
        <f t="shared" ref="Z8:Z39" si="3">AVERAGE(V8:Y8)/4</f>
        <v>#DIV/0!</v>
      </c>
      <c r="AA8" s="23" t="e">
        <f t="shared" ref="AA8:AA39" si="4">SUM(K8,P8,U8,Z8)</f>
        <v>#DIV/0!</v>
      </c>
      <c r="AB8" s="4"/>
      <c r="AC8" s="2"/>
    </row>
    <row r="9" spans="1:29" ht="14.45">
      <c r="A9" s="13">
        <v>2</v>
      </c>
      <c r="B9" s="40">
        <v>202300068</v>
      </c>
      <c r="C9" s="34" t="s">
        <v>67</v>
      </c>
      <c r="D9" s="1">
        <v>10</v>
      </c>
      <c r="E9" s="3">
        <v>10</v>
      </c>
      <c r="F9" s="3">
        <v>10</v>
      </c>
      <c r="G9" s="3">
        <v>10</v>
      </c>
      <c r="H9" s="3">
        <v>10</v>
      </c>
      <c r="I9" s="3"/>
      <c r="J9" s="3"/>
      <c r="K9" s="22">
        <f t="shared" si="0"/>
        <v>2.5</v>
      </c>
      <c r="L9" s="3">
        <v>10</v>
      </c>
      <c r="M9" s="3"/>
      <c r="N9" s="1"/>
      <c r="O9" s="1"/>
      <c r="P9" s="22">
        <f t="shared" si="1"/>
        <v>2.5</v>
      </c>
      <c r="Q9" s="2">
        <v>10</v>
      </c>
      <c r="R9" s="3"/>
      <c r="S9" s="3"/>
      <c r="T9" s="1"/>
      <c r="U9" s="24">
        <f t="shared" si="2"/>
        <v>2.5</v>
      </c>
      <c r="V9" s="2"/>
      <c r="W9" s="26"/>
      <c r="X9" s="29"/>
      <c r="Y9" s="26"/>
      <c r="Z9" s="24" t="e">
        <f t="shared" si="3"/>
        <v>#DIV/0!</v>
      </c>
      <c r="AA9" s="23" t="e">
        <f t="shared" si="4"/>
        <v>#DIV/0!</v>
      </c>
      <c r="AB9" s="4"/>
      <c r="AC9" s="2"/>
    </row>
    <row r="10" spans="1:29" ht="14.45">
      <c r="A10" s="13">
        <v>3</v>
      </c>
      <c r="B10" s="40">
        <v>2601917116</v>
      </c>
      <c r="C10" s="34" t="s">
        <v>68</v>
      </c>
      <c r="D10" s="1">
        <v>10</v>
      </c>
      <c r="E10" s="3">
        <v>10</v>
      </c>
      <c r="F10" s="3">
        <v>10</v>
      </c>
      <c r="G10" s="3">
        <v>10</v>
      </c>
      <c r="H10" s="3">
        <v>10</v>
      </c>
      <c r="I10" s="3"/>
      <c r="J10" s="3"/>
      <c r="K10" s="22">
        <f t="shared" si="0"/>
        <v>2.5</v>
      </c>
      <c r="L10" s="3">
        <v>10</v>
      </c>
      <c r="M10" s="3"/>
      <c r="N10" s="1"/>
      <c r="O10" s="1"/>
      <c r="P10" s="22">
        <f t="shared" si="1"/>
        <v>2.5</v>
      </c>
      <c r="Q10" s="2">
        <v>10</v>
      </c>
      <c r="R10" s="3"/>
      <c r="S10" s="3"/>
      <c r="T10" s="1"/>
      <c r="U10" s="24">
        <f t="shared" si="2"/>
        <v>2.5</v>
      </c>
      <c r="V10" s="2"/>
      <c r="W10" s="26"/>
      <c r="X10" s="29"/>
      <c r="Y10" s="26"/>
      <c r="Z10" s="24" t="e">
        <f t="shared" si="3"/>
        <v>#DIV/0!</v>
      </c>
      <c r="AA10" s="23" t="e">
        <f t="shared" si="4"/>
        <v>#DIV/0!</v>
      </c>
      <c r="AB10" s="4"/>
      <c r="AC10" s="2"/>
    </row>
    <row r="11" spans="1:29" ht="14.45">
      <c r="A11" s="13">
        <v>4</v>
      </c>
      <c r="B11" s="40">
        <v>1601545685</v>
      </c>
      <c r="C11" s="34" t="s">
        <v>69</v>
      </c>
      <c r="D11" s="1">
        <v>10</v>
      </c>
      <c r="E11" s="3">
        <v>10</v>
      </c>
      <c r="F11" s="3">
        <v>10</v>
      </c>
      <c r="G11" s="3">
        <v>10</v>
      </c>
      <c r="H11" s="3">
        <v>10</v>
      </c>
      <c r="I11" s="3"/>
      <c r="J11" s="3"/>
      <c r="K11" s="22">
        <f t="shared" si="0"/>
        <v>2.5</v>
      </c>
      <c r="L11" s="3">
        <v>10</v>
      </c>
      <c r="M11" s="3"/>
      <c r="N11" s="1"/>
      <c r="O11" s="1"/>
      <c r="P11" s="22">
        <f t="shared" si="1"/>
        <v>2.5</v>
      </c>
      <c r="Q11" s="2">
        <v>10</v>
      </c>
      <c r="R11" s="3"/>
      <c r="S11" s="3"/>
      <c r="T11" s="1"/>
      <c r="U11" s="24">
        <f t="shared" si="2"/>
        <v>2.5</v>
      </c>
      <c r="V11" s="2"/>
      <c r="W11" s="26"/>
      <c r="X11" s="29"/>
      <c r="Y11" s="26"/>
      <c r="Z11" s="24" t="e">
        <f t="shared" si="3"/>
        <v>#DIV/0!</v>
      </c>
      <c r="AA11" s="23" t="e">
        <f t="shared" si="4"/>
        <v>#DIV/0!</v>
      </c>
      <c r="AB11" s="4"/>
      <c r="AC11" s="2"/>
    </row>
    <row r="12" spans="1:29" ht="14.45">
      <c r="A12" s="13">
        <v>5</v>
      </c>
      <c r="B12" s="40">
        <v>1601525370</v>
      </c>
      <c r="C12" s="34" t="s">
        <v>70</v>
      </c>
      <c r="D12" s="1">
        <v>10</v>
      </c>
      <c r="E12" s="3">
        <v>10</v>
      </c>
      <c r="F12" s="3">
        <v>5</v>
      </c>
      <c r="G12" s="3">
        <v>10</v>
      </c>
      <c r="H12" s="3">
        <v>10</v>
      </c>
      <c r="I12" s="3">
        <v>0</v>
      </c>
      <c r="J12" s="3"/>
      <c r="K12" s="22">
        <f t="shared" si="0"/>
        <v>1.875</v>
      </c>
      <c r="L12" s="3">
        <v>5</v>
      </c>
      <c r="M12" s="3"/>
      <c r="N12" s="1"/>
      <c r="O12" s="1"/>
      <c r="P12" s="22">
        <f t="shared" si="1"/>
        <v>1.25</v>
      </c>
      <c r="Q12" s="2"/>
      <c r="R12" s="3"/>
      <c r="S12" s="3"/>
      <c r="T12" s="1"/>
      <c r="U12" s="24" t="e">
        <f t="shared" si="2"/>
        <v>#DIV/0!</v>
      </c>
      <c r="V12" s="2"/>
      <c r="W12" s="26"/>
      <c r="X12" s="29"/>
      <c r="Y12" s="26"/>
      <c r="Z12" s="24" t="e">
        <f t="shared" si="3"/>
        <v>#DIV/0!</v>
      </c>
      <c r="AA12" s="23" t="e">
        <f t="shared" si="4"/>
        <v>#DIV/0!</v>
      </c>
      <c r="AB12" s="4"/>
      <c r="AC12" s="2"/>
    </row>
    <row r="13" spans="1:29" ht="14.45">
      <c r="A13" s="13">
        <v>6</v>
      </c>
      <c r="B13" s="40">
        <v>1727965</v>
      </c>
      <c r="C13" s="34" t="s">
        <v>71</v>
      </c>
      <c r="D13" s="1">
        <v>10</v>
      </c>
      <c r="E13" s="3">
        <v>10</v>
      </c>
      <c r="F13" s="3">
        <v>10</v>
      </c>
      <c r="G13" s="3">
        <v>10</v>
      </c>
      <c r="H13" s="3">
        <v>10</v>
      </c>
      <c r="I13" s="3"/>
      <c r="J13" s="3"/>
      <c r="K13" s="22">
        <f t="shared" si="0"/>
        <v>2.5</v>
      </c>
      <c r="L13" s="3">
        <v>10</v>
      </c>
      <c r="M13" s="3">
        <v>10</v>
      </c>
      <c r="N13" s="1"/>
      <c r="O13" s="1"/>
      <c r="P13" s="22">
        <f t="shared" si="1"/>
        <v>2.5</v>
      </c>
      <c r="Q13" s="2">
        <v>10</v>
      </c>
      <c r="R13" s="3"/>
      <c r="S13" s="3"/>
      <c r="T13" s="1"/>
      <c r="U13" s="24">
        <f t="shared" si="2"/>
        <v>2.5</v>
      </c>
      <c r="V13" s="2"/>
      <c r="W13" s="26"/>
      <c r="X13" s="29"/>
      <c r="Y13" s="26"/>
      <c r="Z13" s="24" t="e">
        <f t="shared" si="3"/>
        <v>#DIV/0!</v>
      </c>
      <c r="AA13" s="23" t="e">
        <f t="shared" si="4"/>
        <v>#DIV/0!</v>
      </c>
      <c r="AB13" s="4"/>
      <c r="AC13" s="2"/>
    </row>
    <row r="14" spans="1:29" ht="14.45">
      <c r="A14" s="13">
        <v>7</v>
      </c>
      <c r="B14" s="40">
        <v>2501904424</v>
      </c>
      <c r="C14" s="34" t="s">
        <v>72</v>
      </c>
      <c r="D14" s="1">
        <v>10</v>
      </c>
      <c r="E14" s="3">
        <v>10</v>
      </c>
      <c r="F14" s="3">
        <v>0</v>
      </c>
      <c r="G14" s="3">
        <v>0</v>
      </c>
      <c r="H14" s="3">
        <v>0</v>
      </c>
      <c r="I14" s="3"/>
      <c r="J14" s="3"/>
      <c r="K14" s="22">
        <f t="shared" si="0"/>
        <v>1</v>
      </c>
      <c r="L14" s="3">
        <v>0</v>
      </c>
      <c r="M14" s="3"/>
      <c r="N14" s="1"/>
      <c r="O14" s="1"/>
      <c r="P14" s="22">
        <f t="shared" si="1"/>
        <v>0</v>
      </c>
      <c r="Q14" s="2">
        <v>0</v>
      </c>
      <c r="R14" s="3"/>
      <c r="S14" s="3"/>
      <c r="T14" s="1"/>
      <c r="U14" s="24">
        <f t="shared" si="2"/>
        <v>0</v>
      </c>
      <c r="V14" s="2"/>
      <c r="W14" s="26"/>
      <c r="X14" s="29"/>
      <c r="Y14" s="26"/>
      <c r="Z14" s="24" t="e">
        <f t="shared" si="3"/>
        <v>#DIV/0!</v>
      </c>
      <c r="AA14" s="23" t="e">
        <f t="shared" si="4"/>
        <v>#DIV/0!</v>
      </c>
      <c r="AB14" s="4"/>
      <c r="AC14" s="2"/>
    </row>
    <row r="15" spans="1:29" ht="14.45">
      <c r="A15" s="13">
        <v>8</v>
      </c>
      <c r="B15" s="40">
        <v>1601527735</v>
      </c>
      <c r="C15" s="34" t="s">
        <v>73</v>
      </c>
      <c r="D15" s="1">
        <v>10</v>
      </c>
      <c r="E15" s="3">
        <v>10</v>
      </c>
      <c r="F15" s="3">
        <v>10</v>
      </c>
      <c r="G15" s="3">
        <v>10</v>
      </c>
      <c r="H15" s="3">
        <v>10</v>
      </c>
      <c r="I15" s="3"/>
      <c r="J15" s="3"/>
      <c r="K15" s="22">
        <f t="shared" si="0"/>
        <v>2.5</v>
      </c>
      <c r="L15" s="3">
        <v>10</v>
      </c>
      <c r="M15" s="3"/>
      <c r="N15" s="1"/>
      <c r="O15" s="1"/>
      <c r="P15" s="22">
        <f t="shared" si="1"/>
        <v>2.5</v>
      </c>
      <c r="Q15" s="2">
        <v>10</v>
      </c>
      <c r="R15" s="3"/>
      <c r="S15" s="3"/>
      <c r="T15" s="1"/>
      <c r="U15" s="24">
        <f t="shared" si="2"/>
        <v>2.5</v>
      </c>
      <c r="V15" s="2"/>
      <c r="W15" s="26"/>
      <c r="X15" s="29"/>
      <c r="Y15" s="26"/>
      <c r="Z15" s="24" t="e">
        <f t="shared" si="3"/>
        <v>#DIV/0!</v>
      </c>
      <c r="AA15" s="23" t="e">
        <f t="shared" si="4"/>
        <v>#DIV/0!</v>
      </c>
      <c r="AB15" s="4"/>
      <c r="AC15" s="2"/>
    </row>
    <row r="16" spans="1:29" ht="14.45">
      <c r="A16" s="13">
        <v>9</v>
      </c>
      <c r="B16" s="40">
        <v>1801625941</v>
      </c>
      <c r="C16" s="34" t="s">
        <v>74</v>
      </c>
      <c r="D16" s="1">
        <v>10</v>
      </c>
      <c r="E16" s="3">
        <v>10</v>
      </c>
      <c r="F16" s="3">
        <v>10</v>
      </c>
      <c r="G16" s="3">
        <v>10</v>
      </c>
      <c r="H16" s="3">
        <v>10</v>
      </c>
      <c r="I16" s="3"/>
      <c r="J16" s="3"/>
      <c r="K16" s="22">
        <f t="shared" si="0"/>
        <v>2.5</v>
      </c>
      <c r="L16" s="3">
        <v>10</v>
      </c>
      <c r="M16" s="3"/>
      <c r="N16" s="1"/>
      <c r="O16" s="1"/>
      <c r="P16" s="22">
        <f t="shared" si="1"/>
        <v>2.5</v>
      </c>
      <c r="Q16" s="2">
        <v>10</v>
      </c>
      <c r="R16" s="3"/>
      <c r="S16" s="3"/>
      <c r="T16" s="1"/>
      <c r="U16" s="24">
        <f t="shared" si="2"/>
        <v>2.5</v>
      </c>
      <c r="V16" s="2"/>
      <c r="W16" s="26"/>
      <c r="X16" s="29"/>
      <c r="Y16" s="26"/>
      <c r="Z16" s="24" t="e">
        <f t="shared" si="3"/>
        <v>#DIV/0!</v>
      </c>
      <c r="AA16" s="23" t="e">
        <f t="shared" si="4"/>
        <v>#DIV/0!</v>
      </c>
      <c r="AB16" s="4"/>
      <c r="AC16" s="2"/>
    </row>
    <row r="17" spans="1:29" ht="14.45">
      <c r="A17" s="13">
        <v>10</v>
      </c>
      <c r="B17" s="40">
        <v>2601919596</v>
      </c>
      <c r="C17" s="34" t="s">
        <v>75</v>
      </c>
      <c r="D17" s="1">
        <v>10</v>
      </c>
      <c r="E17" s="3">
        <v>10</v>
      </c>
      <c r="F17" s="3">
        <v>10</v>
      </c>
      <c r="G17" s="3">
        <v>10</v>
      </c>
      <c r="H17" s="3">
        <v>10</v>
      </c>
      <c r="I17" s="3"/>
      <c r="J17" s="3"/>
      <c r="K17" s="22">
        <f t="shared" si="0"/>
        <v>2.5</v>
      </c>
      <c r="L17" s="3">
        <v>10</v>
      </c>
      <c r="M17" s="3"/>
      <c r="N17" s="1"/>
      <c r="O17" s="1"/>
      <c r="P17" s="22">
        <f t="shared" si="1"/>
        <v>2.5</v>
      </c>
      <c r="Q17" s="2">
        <v>10</v>
      </c>
      <c r="R17" s="3">
        <v>10</v>
      </c>
      <c r="S17" s="3"/>
      <c r="T17" s="1"/>
      <c r="U17" s="24">
        <f t="shared" si="2"/>
        <v>2.5</v>
      </c>
      <c r="V17" s="2"/>
      <c r="W17" s="26"/>
      <c r="X17" s="29"/>
      <c r="Y17" s="26"/>
      <c r="Z17" s="24" t="e">
        <f t="shared" si="3"/>
        <v>#DIV/0!</v>
      </c>
      <c r="AA17" s="23" t="e">
        <f t="shared" si="4"/>
        <v>#DIV/0!</v>
      </c>
      <c r="AB17" s="4"/>
      <c r="AC17" s="2"/>
    </row>
    <row r="18" spans="1:29" ht="14.45">
      <c r="A18" s="13">
        <v>11</v>
      </c>
      <c r="B18" s="40">
        <v>1801625825</v>
      </c>
      <c r="C18" s="34" t="s">
        <v>76</v>
      </c>
      <c r="D18" s="27">
        <v>10</v>
      </c>
      <c r="E18" s="3">
        <v>10</v>
      </c>
      <c r="F18" s="3">
        <v>10</v>
      </c>
      <c r="G18" s="3">
        <v>10</v>
      </c>
      <c r="H18" s="3">
        <v>10</v>
      </c>
      <c r="I18" s="3"/>
      <c r="J18" s="3"/>
      <c r="K18" s="22">
        <f t="shared" si="0"/>
        <v>2.5</v>
      </c>
      <c r="L18" s="3">
        <v>10</v>
      </c>
      <c r="M18" s="3"/>
      <c r="N18" s="1"/>
      <c r="O18" s="1"/>
      <c r="P18" s="22">
        <f t="shared" si="1"/>
        <v>2.5</v>
      </c>
      <c r="Q18" s="2">
        <v>10</v>
      </c>
      <c r="R18" s="3"/>
      <c r="S18" s="3"/>
      <c r="T18" s="1"/>
      <c r="U18" s="24">
        <f t="shared" si="2"/>
        <v>2.5</v>
      </c>
      <c r="V18" s="2"/>
      <c r="W18" s="26"/>
      <c r="X18" s="29"/>
      <c r="Y18" s="26"/>
      <c r="Z18" s="24" t="e">
        <f t="shared" si="3"/>
        <v>#DIV/0!</v>
      </c>
      <c r="AA18" s="23" t="e">
        <f t="shared" si="4"/>
        <v>#DIV/0!</v>
      </c>
      <c r="AB18" s="4"/>
      <c r="AC18" s="2"/>
    </row>
    <row r="19" spans="1:29" ht="14.45">
      <c r="A19" s="13">
        <v>12</v>
      </c>
      <c r="B19" s="40">
        <v>1727921</v>
      </c>
      <c r="C19" s="34" t="s">
        <v>77</v>
      </c>
      <c r="D19" s="27">
        <v>10</v>
      </c>
      <c r="E19" s="3">
        <v>10</v>
      </c>
      <c r="F19" s="3">
        <v>10</v>
      </c>
      <c r="G19" s="3">
        <v>10</v>
      </c>
      <c r="H19" s="3" t="s">
        <v>31</v>
      </c>
      <c r="I19" s="3">
        <v>0</v>
      </c>
      <c r="J19" s="3"/>
      <c r="K19" s="22">
        <f t="shared" si="0"/>
        <v>2</v>
      </c>
      <c r="L19" s="3">
        <v>10</v>
      </c>
      <c r="M19" s="3"/>
      <c r="N19" s="1"/>
      <c r="O19" s="1"/>
      <c r="P19" s="22">
        <f t="shared" si="1"/>
        <v>2.5</v>
      </c>
      <c r="Q19" s="2">
        <v>10</v>
      </c>
      <c r="R19" s="3"/>
      <c r="S19" s="3"/>
      <c r="T19" s="1"/>
      <c r="U19" s="24">
        <f t="shared" si="2"/>
        <v>2.5</v>
      </c>
      <c r="V19" s="2"/>
      <c r="W19" s="26"/>
      <c r="X19" s="29"/>
      <c r="Y19" s="26"/>
      <c r="Z19" s="24" t="e">
        <f t="shared" si="3"/>
        <v>#DIV/0!</v>
      </c>
      <c r="AA19" s="23" t="e">
        <f t="shared" si="4"/>
        <v>#DIV/0!</v>
      </c>
      <c r="AB19" s="4"/>
      <c r="AC19" s="2"/>
    </row>
    <row r="20" spans="1:29" ht="14.45">
      <c r="A20" s="13">
        <v>13</v>
      </c>
      <c r="B20" s="40">
        <v>2201804220</v>
      </c>
      <c r="C20" s="34" t="s">
        <v>78</v>
      </c>
      <c r="D20" s="27">
        <v>10</v>
      </c>
      <c r="E20" s="3">
        <v>10</v>
      </c>
      <c r="F20" s="3">
        <v>10</v>
      </c>
      <c r="G20" s="3">
        <v>10</v>
      </c>
      <c r="H20" s="3">
        <v>10</v>
      </c>
      <c r="I20" s="3">
        <v>0</v>
      </c>
      <c r="J20" s="3"/>
      <c r="K20" s="22">
        <f t="shared" si="0"/>
        <v>2.0833333333333335</v>
      </c>
      <c r="L20" s="3">
        <v>10</v>
      </c>
      <c r="M20" s="3"/>
      <c r="N20" s="1"/>
      <c r="O20" s="1"/>
      <c r="P20" s="22">
        <f t="shared" si="1"/>
        <v>2.5</v>
      </c>
      <c r="Q20" s="2">
        <v>10</v>
      </c>
      <c r="R20" s="3"/>
      <c r="S20" s="3"/>
      <c r="T20" s="1"/>
      <c r="U20" s="24">
        <f t="shared" si="2"/>
        <v>2.5</v>
      </c>
      <c r="V20" s="2"/>
      <c r="W20" s="26"/>
      <c r="X20" s="29"/>
      <c r="Y20" s="26"/>
      <c r="Z20" s="24" t="e">
        <f t="shared" si="3"/>
        <v>#DIV/0!</v>
      </c>
      <c r="AA20" s="23" t="e">
        <f t="shared" si="4"/>
        <v>#DIV/0!</v>
      </c>
      <c r="AB20" s="4"/>
      <c r="AC20" s="2"/>
    </row>
    <row r="21" spans="1:29" ht="14.45">
      <c r="A21" s="13">
        <v>14</v>
      </c>
      <c r="B21" s="40">
        <v>1727738</v>
      </c>
      <c r="C21" s="34" t="s">
        <v>79</v>
      </c>
      <c r="D21" s="1">
        <v>10</v>
      </c>
      <c r="E21" s="3">
        <v>10</v>
      </c>
      <c r="F21" s="3">
        <v>10</v>
      </c>
      <c r="G21" s="3">
        <v>10</v>
      </c>
      <c r="H21" s="3">
        <v>10</v>
      </c>
      <c r="I21" s="3"/>
      <c r="J21" s="3"/>
      <c r="K21" s="22">
        <f t="shared" si="0"/>
        <v>2.5</v>
      </c>
      <c r="L21" s="3">
        <v>10</v>
      </c>
      <c r="M21" s="3"/>
      <c r="N21" s="1"/>
      <c r="O21" s="1"/>
      <c r="P21" s="22">
        <f t="shared" si="1"/>
        <v>2.5</v>
      </c>
      <c r="Q21" s="2">
        <v>5</v>
      </c>
      <c r="R21" s="3"/>
      <c r="S21" s="3"/>
      <c r="T21" s="1"/>
      <c r="U21" s="24">
        <f t="shared" si="2"/>
        <v>1.25</v>
      </c>
      <c r="V21" s="2"/>
      <c r="W21" s="26"/>
      <c r="X21" s="29"/>
      <c r="Y21" s="26"/>
      <c r="Z21" s="24" t="e">
        <f t="shared" si="3"/>
        <v>#DIV/0!</v>
      </c>
      <c r="AA21" s="23" t="e">
        <f t="shared" si="4"/>
        <v>#DIV/0!</v>
      </c>
      <c r="AB21" s="4"/>
      <c r="AC21" s="2"/>
    </row>
    <row r="22" spans="1:29" ht="14.45">
      <c r="A22" s="13">
        <v>15</v>
      </c>
      <c r="B22" s="40">
        <v>1601575028</v>
      </c>
      <c r="C22" s="34" t="s">
        <v>80</v>
      </c>
      <c r="D22" s="1">
        <v>10</v>
      </c>
      <c r="E22" s="3">
        <v>10</v>
      </c>
      <c r="F22" s="3">
        <v>10</v>
      </c>
      <c r="G22" s="3">
        <v>0</v>
      </c>
      <c r="H22" s="3">
        <v>10</v>
      </c>
      <c r="I22" s="3"/>
      <c r="J22" s="3"/>
      <c r="K22" s="22">
        <f t="shared" si="0"/>
        <v>2</v>
      </c>
      <c r="L22" s="3">
        <v>10</v>
      </c>
      <c r="M22" s="3"/>
      <c r="N22" s="1"/>
      <c r="O22" s="1"/>
      <c r="P22" s="22">
        <f t="shared" si="1"/>
        <v>2.5</v>
      </c>
      <c r="Q22" s="2">
        <v>10</v>
      </c>
      <c r="R22" s="3"/>
      <c r="S22" s="3"/>
      <c r="T22" s="1"/>
      <c r="U22" s="24">
        <f t="shared" si="2"/>
        <v>2.5</v>
      </c>
      <c r="V22" s="2"/>
      <c r="W22" s="26"/>
      <c r="X22" s="29"/>
      <c r="Y22" s="26"/>
      <c r="Z22" s="24" t="e">
        <f t="shared" si="3"/>
        <v>#DIV/0!</v>
      </c>
      <c r="AA22" s="23" t="e">
        <f t="shared" si="4"/>
        <v>#DIV/0!</v>
      </c>
      <c r="AB22" s="4"/>
      <c r="AC22" s="2"/>
    </row>
    <row r="23" spans="1:29" ht="14.45">
      <c r="A23" s="13">
        <v>16</v>
      </c>
      <c r="B23" s="40">
        <v>2001729022</v>
      </c>
      <c r="C23" s="34" t="s">
        <v>81</v>
      </c>
      <c r="D23" s="1" t="s">
        <v>31</v>
      </c>
      <c r="E23" s="3" t="s">
        <v>31</v>
      </c>
      <c r="F23" s="3" t="s">
        <v>31</v>
      </c>
      <c r="G23" s="3">
        <v>0</v>
      </c>
      <c r="H23" s="3">
        <v>10</v>
      </c>
      <c r="I23" s="3"/>
      <c r="J23" s="3"/>
      <c r="K23" s="22">
        <f t="shared" si="0"/>
        <v>1.25</v>
      </c>
      <c r="L23" s="3">
        <v>10</v>
      </c>
      <c r="M23" s="3"/>
      <c r="N23" s="1"/>
      <c r="O23" s="1"/>
      <c r="P23" s="22">
        <f t="shared" si="1"/>
        <v>2.5</v>
      </c>
      <c r="Q23" s="2">
        <v>10</v>
      </c>
      <c r="R23" s="3"/>
      <c r="S23" s="3"/>
      <c r="T23" s="1"/>
      <c r="U23" s="24">
        <f t="shared" si="2"/>
        <v>2.5</v>
      </c>
      <c r="V23" s="2"/>
      <c r="W23" s="26"/>
      <c r="X23" s="29"/>
      <c r="Y23" s="26"/>
      <c r="Z23" s="24" t="e">
        <f t="shared" si="3"/>
        <v>#DIV/0!</v>
      </c>
      <c r="AA23" s="23" t="e">
        <f t="shared" si="4"/>
        <v>#DIV/0!</v>
      </c>
      <c r="AB23" s="4"/>
      <c r="AC23" s="2"/>
    </row>
    <row r="24" spans="1:29" ht="14.45">
      <c r="A24" s="13">
        <v>17</v>
      </c>
      <c r="B24" s="40">
        <v>1727727</v>
      </c>
      <c r="C24" s="34" t="s">
        <v>82</v>
      </c>
      <c r="D24" s="1">
        <v>10</v>
      </c>
      <c r="E24" s="3">
        <v>10</v>
      </c>
      <c r="F24" s="3">
        <v>10</v>
      </c>
      <c r="G24" s="3">
        <v>10</v>
      </c>
      <c r="H24" s="3">
        <v>10</v>
      </c>
      <c r="I24" s="3">
        <v>0</v>
      </c>
      <c r="J24" s="3"/>
      <c r="K24" s="22">
        <f t="shared" si="0"/>
        <v>2.0833333333333335</v>
      </c>
      <c r="L24" s="3">
        <v>5</v>
      </c>
      <c r="M24" s="3"/>
      <c r="N24" s="1"/>
      <c r="O24" s="1"/>
      <c r="P24" s="22">
        <f t="shared" si="1"/>
        <v>1.25</v>
      </c>
      <c r="Q24" s="2">
        <v>10</v>
      </c>
      <c r="R24" s="3"/>
      <c r="S24" s="3"/>
      <c r="T24" s="1"/>
      <c r="U24" s="24">
        <f t="shared" si="2"/>
        <v>2.5</v>
      </c>
      <c r="V24" s="2"/>
      <c r="W24" s="26"/>
      <c r="X24" s="29"/>
      <c r="Y24" s="26"/>
      <c r="Z24" s="24" t="e">
        <f t="shared" si="3"/>
        <v>#DIV/0!</v>
      </c>
      <c r="AA24" s="23" t="e">
        <f t="shared" si="4"/>
        <v>#DIV/0!</v>
      </c>
      <c r="AB24" s="4"/>
      <c r="AC24" s="2"/>
    </row>
    <row r="25" spans="1:29" ht="14.45">
      <c r="A25" s="13">
        <v>18</v>
      </c>
      <c r="B25" s="40">
        <v>202300145</v>
      </c>
      <c r="C25" s="34" t="s">
        <v>83</v>
      </c>
      <c r="D25" s="1">
        <v>10</v>
      </c>
      <c r="E25" s="3">
        <v>10</v>
      </c>
      <c r="F25" s="3">
        <v>10</v>
      </c>
      <c r="G25" s="3">
        <v>10</v>
      </c>
      <c r="H25" s="3">
        <v>10</v>
      </c>
      <c r="I25" s="3"/>
      <c r="J25" s="3"/>
      <c r="K25" s="22">
        <f t="shared" si="0"/>
        <v>2.5</v>
      </c>
      <c r="L25" s="3">
        <v>10</v>
      </c>
      <c r="M25" s="3"/>
      <c r="N25" s="1"/>
      <c r="O25" s="1"/>
      <c r="P25" s="22">
        <f t="shared" si="1"/>
        <v>2.5</v>
      </c>
      <c r="Q25" s="2">
        <v>10</v>
      </c>
      <c r="R25" s="3"/>
      <c r="S25" s="3"/>
      <c r="T25" s="1"/>
      <c r="U25" s="24">
        <f t="shared" si="2"/>
        <v>2.5</v>
      </c>
      <c r="V25" s="2"/>
      <c r="W25" s="26"/>
      <c r="X25" s="29"/>
      <c r="Y25" s="26"/>
      <c r="Z25" s="24" t="e">
        <f t="shared" si="3"/>
        <v>#DIV/0!</v>
      </c>
      <c r="AA25" s="23" t="e">
        <f t="shared" si="4"/>
        <v>#DIV/0!</v>
      </c>
      <c r="AB25" s="4"/>
      <c r="AC25" s="2"/>
    </row>
    <row r="26" spans="1:29" ht="14.45">
      <c r="A26" s="13">
        <v>19</v>
      </c>
      <c r="B26" s="40">
        <v>1727813</v>
      </c>
      <c r="C26" s="34" t="s">
        <v>84</v>
      </c>
      <c r="D26" s="1">
        <v>10</v>
      </c>
      <c r="E26" s="3">
        <v>10</v>
      </c>
      <c r="F26" s="3">
        <v>10</v>
      </c>
      <c r="G26" s="3">
        <v>10</v>
      </c>
      <c r="H26" s="3">
        <v>10</v>
      </c>
      <c r="I26" s="3"/>
      <c r="J26" s="3"/>
      <c r="K26" s="22">
        <f t="shared" si="0"/>
        <v>2.5</v>
      </c>
      <c r="L26" s="3">
        <v>10</v>
      </c>
      <c r="M26" s="3"/>
      <c r="N26" s="1"/>
      <c r="O26" s="1"/>
      <c r="P26" s="22">
        <f t="shared" si="1"/>
        <v>2.5</v>
      </c>
      <c r="Q26" s="2">
        <v>10</v>
      </c>
      <c r="R26" s="3"/>
      <c r="S26" s="3"/>
      <c r="T26" s="1"/>
      <c r="U26" s="24">
        <f t="shared" si="2"/>
        <v>2.5</v>
      </c>
      <c r="V26" s="2"/>
      <c r="W26" s="26"/>
      <c r="X26" s="29"/>
      <c r="Y26" s="26"/>
      <c r="Z26" s="24" t="e">
        <f t="shared" si="3"/>
        <v>#DIV/0!</v>
      </c>
      <c r="AA26" s="23" t="e">
        <f t="shared" si="4"/>
        <v>#DIV/0!</v>
      </c>
      <c r="AB26" s="4"/>
      <c r="AC26" s="2"/>
    </row>
    <row r="27" spans="1:29" ht="14.45">
      <c r="A27" s="13">
        <v>20</v>
      </c>
      <c r="B27" s="40">
        <v>2601915794</v>
      </c>
      <c r="C27" s="34" t="s">
        <v>85</v>
      </c>
      <c r="D27" s="1">
        <v>10</v>
      </c>
      <c r="E27" s="3">
        <v>10</v>
      </c>
      <c r="F27" s="3">
        <v>10</v>
      </c>
      <c r="G27" s="3">
        <v>10</v>
      </c>
      <c r="H27" s="3">
        <v>10</v>
      </c>
      <c r="I27" s="3"/>
      <c r="J27" s="3"/>
      <c r="K27" s="22">
        <f t="shared" si="0"/>
        <v>2.5</v>
      </c>
      <c r="L27" s="3">
        <v>10</v>
      </c>
      <c r="M27" s="3"/>
      <c r="N27" s="1"/>
      <c r="O27" s="1"/>
      <c r="P27" s="22">
        <f t="shared" si="1"/>
        <v>2.5</v>
      </c>
      <c r="Q27" s="2">
        <v>10</v>
      </c>
      <c r="R27" s="3"/>
      <c r="S27" s="3"/>
      <c r="T27" s="1"/>
      <c r="U27" s="24">
        <f t="shared" si="2"/>
        <v>2.5</v>
      </c>
      <c r="V27" s="2"/>
      <c r="W27" s="26"/>
      <c r="X27" s="29"/>
      <c r="Y27" s="26"/>
      <c r="Z27" s="24" t="e">
        <f t="shared" si="3"/>
        <v>#DIV/0!</v>
      </c>
      <c r="AA27" s="23" t="e">
        <f t="shared" si="4"/>
        <v>#DIV/0!</v>
      </c>
      <c r="AB27" s="4"/>
      <c r="AC27" s="2"/>
    </row>
    <row r="28" spans="1:29" ht="14.45">
      <c r="A28" s="13"/>
      <c r="B28" s="40"/>
      <c r="C28" s="34" t="s">
        <v>86</v>
      </c>
      <c r="D28" s="1">
        <v>0</v>
      </c>
      <c r="E28" s="3">
        <v>0</v>
      </c>
      <c r="F28" s="3">
        <v>0</v>
      </c>
      <c r="G28" s="3">
        <v>10</v>
      </c>
      <c r="H28" s="3">
        <v>10</v>
      </c>
      <c r="I28" s="3"/>
      <c r="J28" s="3"/>
      <c r="K28" s="22">
        <f t="shared" si="0"/>
        <v>1</v>
      </c>
      <c r="L28" s="3" t="s">
        <v>31</v>
      </c>
      <c r="M28" s="3"/>
      <c r="N28" s="1"/>
      <c r="O28" s="1"/>
      <c r="P28" s="22"/>
      <c r="Q28" s="2" t="s">
        <v>31</v>
      </c>
      <c r="R28" s="3"/>
      <c r="S28" s="3"/>
      <c r="T28" s="1"/>
      <c r="U28" s="24"/>
      <c r="V28" s="2"/>
      <c r="W28" s="26"/>
      <c r="X28" s="29"/>
      <c r="Y28" s="26"/>
      <c r="Z28" s="24"/>
      <c r="AA28" s="23"/>
      <c r="AB28" s="4"/>
      <c r="AC28" s="2"/>
    </row>
    <row r="29" spans="1:29" ht="14.45">
      <c r="A29" s="13">
        <v>21</v>
      </c>
      <c r="B29" s="40">
        <v>2601914814</v>
      </c>
      <c r="C29" s="34" t="s">
        <v>87</v>
      </c>
      <c r="D29" s="1">
        <v>10</v>
      </c>
      <c r="E29" s="3">
        <v>10</v>
      </c>
      <c r="F29" s="3">
        <v>10</v>
      </c>
      <c r="G29" s="3">
        <v>10</v>
      </c>
      <c r="H29" s="3" t="s">
        <v>31</v>
      </c>
      <c r="I29" s="3"/>
      <c r="J29" s="3"/>
      <c r="K29" s="22">
        <f t="shared" si="0"/>
        <v>2.5</v>
      </c>
      <c r="L29" s="3">
        <v>0</v>
      </c>
      <c r="M29" s="3"/>
      <c r="N29" s="1"/>
      <c r="O29" s="1"/>
      <c r="P29" s="22">
        <f t="shared" si="1"/>
        <v>0</v>
      </c>
      <c r="Q29" s="2">
        <v>0</v>
      </c>
      <c r="R29" s="3"/>
      <c r="S29" s="3"/>
      <c r="T29" s="1"/>
      <c r="U29" s="24">
        <f t="shared" si="2"/>
        <v>0</v>
      </c>
      <c r="V29" s="2"/>
      <c r="W29" s="26"/>
      <c r="X29" s="29"/>
      <c r="Y29" s="26"/>
      <c r="Z29" s="24" t="e">
        <f t="shared" si="3"/>
        <v>#DIV/0!</v>
      </c>
      <c r="AA29" s="23" t="e">
        <f t="shared" si="4"/>
        <v>#DIV/0!</v>
      </c>
      <c r="AB29" s="4"/>
      <c r="AC29" s="2"/>
    </row>
    <row r="30" spans="1:29" ht="14.45">
      <c r="A30" s="13">
        <v>22</v>
      </c>
      <c r="B30" s="40">
        <v>2601915694</v>
      </c>
      <c r="C30" s="34" t="s">
        <v>88</v>
      </c>
      <c r="D30" s="1">
        <v>10</v>
      </c>
      <c r="E30" s="3">
        <v>10</v>
      </c>
      <c r="F30" s="3">
        <v>10</v>
      </c>
      <c r="G30" s="3">
        <v>10</v>
      </c>
      <c r="H30" s="3">
        <v>10</v>
      </c>
      <c r="I30" s="3"/>
      <c r="J30" s="3"/>
      <c r="K30" s="22">
        <f t="shared" si="0"/>
        <v>2.5</v>
      </c>
      <c r="L30" s="3">
        <v>10</v>
      </c>
      <c r="M30" s="3"/>
      <c r="N30" s="1"/>
      <c r="O30" s="1"/>
      <c r="P30" s="22">
        <f t="shared" si="1"/>
        <v>2.5</v>
      </c>
      <c r="Q30" s="2">
        <v>10</v>
      </c>
      <c r="R30" s="3"/>
      <c r="S30" s="3"/>
      <c r="T30" s="1"/>
      <c r="U30" s="24">
        <f t="shared" si="2"/>
        <v>2.5</v>
      </c>
      <c r="V30" s="2"/>
      <c r="W30" s="26"/>
      <c r="X30" s="29"/>
      <c r="Y30" s="26"/>
      <c r="Z30" s="24" t="e">
        <f t="shared" si="3"/>
        <v>#DIV/0!</v>
      </c>
      <c r="AA30" s="23" t="e">
        <f t="shared" si="4"/>
        <v>#DIV/0!</v>
      </c>
      <c r="AB30" s="4"/>
      <c r="AC30" s="2"/>
    </row>
    <row r="31" spans="1:29" ht="14.45">
      <c r="A31" s="13">
        <v>23</v>
      </c>
      <c r="B31" s="40">
        <v>1801634771</v>
      </c>
      <c r="C31" s="34" t="s">
        <v>89</v>
      </c>
      <c r="D31" s="1">
        <v>10</v>
      </c>
      <c r="E31" s="3">
        <v>10</v>
      </c>
      <c r="F31" s="3">
        <v>10</v>
      </c>
      <c r="G31" s="3">
        <v>10</v>
      </c>
      <c r="H31" s="3">
        <v>0</v>
      </c>
      <c r="I31" s="3"/>
      <c r="J31" s="3"/>
      <c r="K31" s="22">
        <f t="shared" si="0"/>
        <v>2</v>
      </c>
      <c r="L31" s="3">
        <v>5</v>
      </c>
      <c r="M31" s="3"/>
      <c r="N31" s="1"/>
      <c r="O31" s="1"/>
      <c r="P31" s="22">
        <f t="shared" si="1"/>
        <v>1.25</v>
      </c>
      <c r="Q31" s="2">
        <v>10</v>
      </c>
      <c r="R31" s="3"/>
      <c r="S31" s="3"/>
      <c r="T31" s="1"/>
      <c r="U31" s="24">
        <f t="shared" si="2"/>
        <v>2.5</v>
      </c>
      <c r="V31" s="2"/>
      <c r="W31" s="26"/>
      <c r="X31" s="29"/>
      <c r="Y31" s="26"/>
      <c r="Z31" s="24" t="e">
        <f t="shared" si="3"/>
        <v>#DIV/0!</v>
      </c>
      <c r="AA31" s="23" t="e">
        <f t="shared" si="4"/>
        <v>#DIV/0!</v>
      </c>
      <c r="AB31" s="4"/>
      <c r="AC31" s="2"/>
    </row>
    <row r="32" spans="1:29" ht="14.45">
      <c r="A32" s="13">
        <v>24</v>
      </c>
      <c r="B32" s="40">
        <v>2501902087</v>
      </c>
      <c r="C32" s="34" t="s">
        <v>90</v>
      </c>
      <c r="D32" s="1">
        <v>0</v>
      </c>
      <c r="E32" s="3">
        <v>10</v>
      </c>
      <c r="F32" s="3">
        <v>5</v>
      </c>
      <c r="G32" s="3">
        <v>10</v>
      </c>
      <c r="H32" s="3">
        <v>0</v>
      </c>
      <c r="I32" s="3">
        <v>0</v>
      </c>
      <c r="J32" s="3"/>
      <c r="K32" s="22">
        <f t="shared" si="0"/>
        <v>1.0416666666666667</v>
      </c>
      <c r="L32" s="3" t="s">
        <v>31</v>
      </c>
      <c r="M32" s="3"/>
      <c r="N32" s="1"/>
      <c r="O32" s="1"/>
      <c r="P32" s="22" t="e">
        <f t="shared" si="1"/>
        <v>#DIV/0!</v>
      </c>
      <c r="Q32" s="2" t="s">
        <v>31</v>
      </c>
      <c r="R32" s="3"/>
      <c r="S32" s="3"/>
      <c r="T32" s="1"/>
      <c r="U32" s="24" t="e">
        <f t="shared" si="2"/>
        <v>#DIV/0!</v>
      </c>
      <c r="V32" s="2"/>
      <c r="W32" s="26"/>
      <c r="X32" s="29"/>
      <c r="Y32" s="26"/>
      <c r="Z32" s="24" t="e">
        <f t="shared" si="3"/>
        <v>#DIV/0!</v>
      </c>
      <c r="AA32" s="23" t="e">
        <f t="shared" si="4"/>
        <v>#DIV/0!</v>
      </c>
      <c r="AB32" s="4"/>
      <c r="AC32" s="2"/>
    </row>
    <row r="33" spans="1:29" ht="14.45">
      <c r="A33" s="13">
        <v>25</v>
      </c>
      <c r="B33" s="40">
        <v>1727821</v>
      </c>
      <c r="C33" s="34" t="s">
        <v>91</v>
      </c>
      <c r="D33" s="1">
        <v>0</v>
      </c>
      <c r="E33" s="3">
        <v>10</v>
      </c>
      <c r="F33" s="3">
        <v>10</v>
      </c>
      <c r="G33" s="3">
        <v>10</v>
      </c>
      <c r="H33" s="3">
        <v>10</v>
      </c>
      <c r="I33" s="3"/>
      <c r="J33" s="3"/>
      <c r="K33" s="22">
        <f t="shared" si="0"/>
        <v>2</v>
      </c>
      <c r="L33" s="3">
        <v>10</v>
      </c>
      <c r="M33" s="3"/>
      <c r="N33" s="1"/>
      <c r="O33" s="1"/>
      <c r="P33" s="22">
        <f t="shared" si="1"/>
        <v>2.5</v>
      </c>
      <c r="Q33" s="2">
        <v>10</v>
      </c>
      <c r="R33" s="3"/>
      <c r="S33" s="3"/>
      <c r="T33" s="1"/>
      <c r="U33" s="24">
        <f t="shared" si="2"/>
        <v>2.5</v>
      </c>
      <c r="V33" s="2"/>
      <c r="W33" s="26"/>
      <c r="X33" s="29"/>
      <c r="Y33" s="26"/>
      <c r="Z33" s="24" t="e">
        <f t="shared" si="3"/>
        <v>#DIV/0!</v>
      </c>
      <c r="AA33" s="23" t="e">
        <f t="shared" si="4"/>
        <v>#DIV/0!</v>
      </c>
      <c r="AB33" s="4"/>
      <c r="AC33" s="2"/>
    </row>
    <row r="34" spans="1:29" ht="14.45">
      <c r="A34" s="13">
        <v>26</v>
      </c>
      <c r="B34" s="40">
        <v>1727925</v>
      </c>
      <c r="C34" s="34" t="s">
        <v>92</v>
      </c>
      <c r="D34" s="1">
        <v>10</v>
      </c>
      <c r="E34" s="3">
        <v>10</v>
      </c>
      <c r="F34" s="3">
        <v>0</v>
      </c>
      <c r="G34" s="3">
        <v>10</v>
      </c>
      <c r="H34" s="3">
        <v>10</v>
      </c>
      <c r="I34" s="3"/>
      <c r="J34" s="3"/>
      <c r="K34" s="22">
        <f t="shared" si="0"/>
        <v>2</v>
      </c>
      <c r="L34" s="3">
        <v>5</v>
      </c>
      <c r="M34" s="3"/>
      <c r="N34" s="1"/>
      <c r="O34" s="1"/>
      <c r="P34" s="22">
        <f t="shared" si="1"/>
        <v>1.25</v>
      </c>
      <c r="Q34" s="2">
        <v>10</v>
      </c>
      <c r="R34" s="3"/>
      <c r="S34" s="3"/>
      <c r="T34" s="1"/>
      <c r="U34" s="24">
        <f t="shared" si="2"/>
        <v>2.5</v>
      </c>
      <c r="V34" s="2"/>
      <c r="W34" s="26"/>
      <c r="X34" s="29"/>
      <c r="Y34" s="26"/>
      <c r="Z34" s="24" t="e">
        <f t="shared" si="3"/>
        <v>#DIV/0!</v>
      </c>
      <c r="AA34" s="23" t="e">
        <f t="shared" si="4"/>
        <v>#DIV/0!</v>
      </c>
      <c r="AB34" s="4"/>
      <c r="AC34" s="2"/>
    </row>
    <row r="35" spans="1:29" ht="14.45">
      <c r="A35" s="13">
        <v>27</v>
      </c>
      <c r="B35" s="40">
        <v>1601529633</v>
      </c>
      <c r="C35" s="34" t="s">
        <v>93</v>
      </c>
      <c r="D35" s="1">
        <v>10</v>
      </c>
      <c r="E35" s="3">
        <v>10</v>
      </c>
      <c r="F35" s="3">
        <v>10</v>
      </c>
      <c r="G35" s="3">
        <v>10</v>
      </c>
      <c r="H35" s="3">
        <v>10</v>
      </c>
      <c r="I35" s="3"/>
      <c r="J35" s="3"/>
      <c r="K35" s="22">
        <f t="shared" si="0"/>
        <v>2.5</v>
      </c>
      <c r="L35" s="3">
        <v>10</v>
      </c>
      <c r="M35" s="3"/>
      <c r="N35" s="1"/>
      <c r="O35" s="1"/>
      <c r="P35" s="22">
        <f t="shared" si="1"/>
        <v>2.5</v>
      </c>
      <c r="Q35" s="2">
        <v>10</v>
      </c>
      <c r="R35" s="3"/>
      <c r="S35" s="3"/>
      <c r="T35" s="1"/>
      <c r="U35" s="24">
        <f t="shared" si="2"/>
        <v>2.5</v>
      </c>
      <c r="V35" s="2"/>
      <c r="W35" s="26"/>
      <c r="X35" s="29"/>
      <c r="Y35" s="26"/>
      <c r="Z35" s="24" t="e">
        <f t="shared" si="3"/>
        <v>#DIV/0!</v>
      </c>
      <c r="AA35" s="23" t="e">
        <f t="shared" si="4"/>
        <v>#DIV/0!</v>
      </c>
      <c r="AB35" s="4"/>
      <c r="AC35" s="2"/>
    </row>
    <row r="36" spans="1:29" ht="14.45">
      <c r="A36" s="13">
        <v>28</v>
      </c>
      <c r="B36" s="40">
        <v>2101766918</v>
      </c>
      <c r="C36" s="34" t="s">
        <v>94</v>
      </c>
      <c r="D36" s="1">
        <v>0</v>
      </c>
      <c r="E36" s="3">
        <v>10</v>
      </c>
      <c r="F36" s="3">
        <v>10</v>
      </c>
      <c r="G36" s="3">
        <v>0</v>
      </c>
      <c r="H36" s="3">
        <v>0</v>
      </c>
      <c r="I36" s="3"/>
      <c r="J36" s="3"/>
      <c r="K36" s="22">
        <f t="shared" si="0"/>
        <v>1</v>
      </c>
      <c r="L36" s="3">
        <v>10</v>
      </c>
      <c r="M36" s="3"/>
      <c r="N36" s="1"/>
      <c r="O36" s="1"/>
      <c r="P36" s="22">
        <f t="shared" si="1"/>
        <v>2.5</v>
      </c>
      <c r="Q36" s="2">
        <v>10</v>
      </c>
      <c r="R36" s="3"/>
      <c r="S36" s="3"/>
      <c r="T36" s="1"/>
      <c r="U36" s="24">
        <f t="shared" si="2"/>
        <v>2.5</v>
      </c>
      <c r="V36" s="2"/>
      <c r="W36" s="26"/>
      <c r="X36" s="29"/>
      <c r="Y36" s="26"/>
      <c r="Z36" s="24" t="e">
        <f t="shared" si="3"/>
        <v>#DIV/0!</v>
      </c>
      <c r="AA36" s="23" t="e">
        <f t="shared" si="4"/>
        <v>#DIV/0!</v>
      </c>
      <c r="AB36" s="4"/>
      <c r="AC36" s="2"/>
    </row>
    <row r="37" spans="1:29" ht="14.45">
      <c r="A37" s="13">
        <v>29</v>
      </c>
      <c r="B37" s="40">
        <v>202300057</v>
      </c>
      <c r="C37" s="34" t="s">
        <v>95</v>
      </c>
      <c r="D37" s="1">
        <v>10</v>
      </c>
      <c r="E37" s="3">
        <v>10</v>
      </c>
      <c r="F37" s="3">
        <v>0</v>
      </c>
      <c r="G37" s="3">
        <v>10</v>
      </c>
      <c r="H37" s="3" t="s">
        <v>31</v>
      </c>
      <c r="I37" s="3"/>
      <c r="J37" s="3"/>
      <c r="K37" s="22">
        <f t="shared" si="0"/>
        <v>1.875</v>
      </c>
      <c r="L37" s="3">
        <v>5</v>
      </c>
      <c r="M37" s="3"/>
      <c r="N37" s="1"/>
      <c r="O37" s="1"/>
      <c r="P37" s="22">
        <f t="shared" si="1"/>
        <v>1.25</v>
      </c>
      <c r="Q37" s="2">
        <v>10</v>
      </c>
      <c r="R37" s="3"/>
      <c r="S37" s="3"/>
      <c r="T37" s="1"/>
      <c r="U37" s="24">
        <f t="shared" si="2"/>
        <v>2.5</v>
      </c>
      <c r="V37" s="2"/>
      <c r="W37" s="26"/>
      <c r="X37" s="29"/>
      <c r="Y37" s="26"/>
      <c r="Z37" s="24" t="e">
        <f t="shared" si="3"/>
        <v>#DIV/0!</v>
      </c>
      <c r="AA37" s="23" t="e">
        <f t="shared" si="4"/>
        <v>#DIV/0!</v>
      </c>
      <c r="AB37" s="4"/>
      <c r="AC37" s="2"/>
    </row>
    <row r="38" spans="1:29" ht="14.45">
      <c r="A38" s="13">
        <v>30</v>
      </c>
      <c r="B38" s="40">
        <v>2501901761</v>
      </c>
      <c r="C38" s="34" t="s">
        <v>96</v>
      </c>
      <c r="D38" s="1">
        <v>10</v>
      </c>
      <c r="E38" s="3">
        <v>10</v>
      </c>
      <c r="F38" s="3">
        <v>10</v>
      </c>
      <c r="G38" s="3">
        <v>0</v>
      </c>
      <c r="H38" s="3">
        <v>0</v>
      </c>
      <c r="I38" s="3">
        <v>0</v>
      </c>
      <c r="J38" s="3"/>
      <c r="K38" s="22">
        <f t="shared" si="0"/>
        <v>1.25</v>
      </c>
      <c r="L38" s="3" t="s">
        <v>31</v>
      </c>
      <c r="M38" s="3"/>
      <c r="N38" s="1"/>
      <c r="O38" s="1"/>
      <c r="P38" s="22" t="e">
        <f t="shared" si="1"/>
        <v>#DIV/0!</v>
      </c>
      <c r="Q38" s="2" t="s">
        <v>31</v>
      </c>
      <c r="R38" s="3"/>
      <c r="S38" s="3"/>
      <c r="T38" s="1"/>
      <c r="U38" s="24" t="e">
        <f t="shared" si="2"/>
        <v>#DIV/0!</v>
      </c>
      <c r="V38" s="2"/>
      <c r="W38" s="26"/>
      <c r="X38" s="29"/>
      <c r="Y38" s="26"/>
      <c r="Z38" s="24" t="e">
        <f t="shared" si="3"/>
        <v>#DIV/0!</v>
      </c>
      <c r="AA38" s="23" t="e">
        <f t="shared" si="4"/>
        <v>#DIV/0!</v>
      </c>
      <c r="AB38" s="4"/>
      <c r="AC38" s="2"/>
    </row>
    <row r="39" spans="1:29" ht="14.45">
      <c r="A39" s="13">
        <v>31</v>
      </c>
      <c r="B39" s="40">
        <v>1727922</v>
      </c>
      <c r="C39" s="34" t="s">
        <v>97</v>
      </c>
      <c r="D39" s="1">
        <v>10</v>
      </c>
      <c r="E39" s="3">
        <v>10</v>
      </c>
      <c r="F39" s="3">
        <v>5</v>
      </c>
      <c r="G39" s="3">
        <v>10</v>
      </c>
      <c r="H39" s="3">
        <v>10</v>
      </c>
      <c r="I39" s="3"/>
      <c r="J39" s="3"/>
      <c r="K39" s="22">
        <f t="shared" si="0"/>
        <v>2.25</v>
      </c>
      <c r="L39" s="3">
        <v>10</v>
      </c>
      <c r="M39" s="3"/>
      <c r="N39" s="1"/>
      <c r="O39" s="1"/>
      <c r="P39" s="22">
        <f t="shared" si="1"/>
        <v>2.5</v>
      </c>
      <c r="Q39" s="2">
        <v>10</v>
      </c>
      <c r="R39" s="3"/>
      <c r="S39" s="3"/>
      <c r="T39" s="1"/>
      <c r="U39" s="24">
        <f t="shared" si="2"/>
        <v>2.5</v>
      </c>
      <c r="V39" s="2"/>
      <c r="W39" s="26"/>
      <c r="X39" s="29"/>
      <c r="Y39" s="26"/>
      <c r="Z39" s="24" t="e">
        <f t="shared" si="3"/>
        <v>#DIV/0!</v>
      </c>
      <c r="AA39" s="23" t="e">
        <f t="shared" si="4"/>
        <v>#DIV/0!</v>
      </c>
      <c r="AB39" s="4"/>
      <c r="AC39" s="2"/>
    </row>
    <row r="40" spans="1:29" ht="14.45"/>
    <row r="41" spans="1:29" ht="14.45">
      <c r="A41" s="14" t="s">
        <v>60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6"/>
    </row>
    <row r="42" spans="1:29" ht="14.45">
      <c r="A42" s="17"/>
      <c r="B42" s="41"/>
      <c r="AC42" s="18"/>
    </row>
    <row r="43" spans="1:29" ht="14.45">
      <c r="A43" s="17"/>
      <c r="B43" s="41"/>
      <c r="AC43" s="18"/>
    </row>
    <row r="44" spans="1:29" ht="14.45">
      <c r="A44" s="17"/>
      <c r="B44" s="41"/>
      <c r="AC44" s="18"/>
    </row>
    <row r="45" spans="1:29" ht="14.45">
      <c r="A45" s="17"/>
      <c r="B45" s="41"/>
      <c r="AC45" s="18"/>
    </row>
    <row r="46" spans="1:29" ht="14.45">
      <c r="A46" s="17"/>
      <c r="B46" s="41"/>
      <c r="AC46" s="18"/>
    </row>
    <row r="47" spans="1:29" ht="14.45">
      <c r="A47" s="17"/>
      <c r="B47" s="41"/>
      <c r="AC47" s="18"/>
    </row>
    <row r="48" spans="1:29" ht="14.45">
      <c r="A48" s="17"/>
      <c r="B48" s="41"/>
      <c r="AC48" s="18"/>
    </row>
    <row r="49" spans="1:29" ht="14.45">
      <c r="A49" s="17"/>
      <c r="B49" s="41"/>
      <c r="AC49" s="18"/>
    </row>
    <row r="50" spans="1:29" ht="14.45">
      <c r="A50" s="17"/>
      <c r="B50" s="41"/>
      <c r="AC50" s="18"/>
    </row>
    <row r="51" spans="1:29" ht="14.45">
      <c r="A51" s="17"/>
      <c r="B51" s="41"/>
      <c r="AC51" s="18"/>
    </row>
    <row r="52" spans="1:29" ht="14.45">
      <c r="A52" s="17"/>
      <c r="B52" s="41"/>
      <c r="AC52" s="18"/>
    </row>
    <row r="53" spans="1:29" ht="14.45">
      <c r="A53" s="17"/>
      <c r="B53" s="41"/>
      <c r="AC53" s="18"/>
    </row>
    <row r="54" spans="1:29" ht="14.45">
      <c r="A54" s="17"/>
      <c r="B54" s="41"/>
      <c r="AC54" s="18"/>
    </row>
    <row r="55" spans="1:29" ht="14.45">
      <c r="A55" s="17"/>
      <c r="B55" s="41"/>
      <c r="AC55" s="18"/>
    </row>
    <row r="56" spans="1:29" ht="14.45">
      <c r="A56" s="17"/>
      <c r="B56" s="41"/>
      <c r="AC56" s="18"/>
    </row>
    <row r="57" spans="1:29" ht="14.45">
      <c r="A57" s="17"/>
      <c r="B57" s="41"/>
      <c r="AC57" s="18"/>
    </row>
    <row r="58" spans="1:29" ht="14.45">
      <c r="A58" s="17"/>
      <c r="B58" s="41"/>
      <c r="AC58" s="18"/>
    </row>
    <row r="59" spans="1:29" ht="14.45">
      <c r="A59" s="17"/>
      <c r="B59" s="41"/>
      <c r="AC59" s="18"/>
    </row>
    <row r="60" spans="1:29" ht="14.45">
      <c r="A60" s="17"/>
      <c r="B60" s="41"/>
      <c r="AC60" s="18"/>
    </row>
    <row r="61" spans="1:29" ht="14.45">
      <c r="A61" s="17"/>
      <c r="B61" s="41"/>
      <c r="AC61" s="18"/>
    </row>
    <row r="62" spans="1:29" ht="14.45">
      <c r="A62" s="17"/>
      <c r="B62" s="41"/>
      <c r="AC62" s="18"/>
    </row>
    <row r="63" spans="1:29" ht="14.45">
      <c r="A63" s="17"/>
      <c r="B63" s="41"/>
      <c r="AC63" s="18"/>
    </row>
    <row r="64" spans="1:29" ht="14.45">
      <c r="A64" s="17"/>
      <c r="B64" s="41"/>
      <c r="AC64" s="18"/>
    </row>
    <row r="65" spans="1:29" ht="14.45">
      <c r="A65" s="17"/>
      <c r="B65" s="41"/>
      <c r="AC65" s="18"/>
    </row>
    <row r="66" spans="1:29" ht="14.45">
      <c r="A66" s="17"/>
      <c r="B66" s="41"/>
      <c r="AC66" s="18"/>
    </row>
    <row r="67" spans="1:29" ht="14.45">
      <c r="A67" s="17"/>
      <c r="B67" s="41"/>
      <c r="AC67" s="18"/>
    </row>
    <row r="68" spans="1:29" ht="14.45">
      <c r="A68" s="17"/>
      <c r="B68" s="41"/>
      <c r="AC68" s="18"/>
    </row>
    <row r="69" spans="1:29" ht="14.45">
      <c r="A69" s="19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Z69" s="20"/>
      <c r="AA69" s="20"/>
      <c r="AB69" s="20"/>
      <c r="AC69" s="21"/>
    </row>
    <row r="70" spans="1:29" ht="15" customHeight="1">
      <c r="Y70" s="20"/>
    </row>
  </sheetData>
  <sortState xmlns:xlrd2="http://schemas.microsoft.com/office/spreadsheetml/2017/richdata2" ref="C8:C36">
    <sortCondition ref="C8:C36"/>
  </sortState>
  <mergeCells count="33">
    <mergeCell ref="D1:Y2"/>
    <mergeCell ref="M5:M7"/>
    <mergeCell ref="G5:G7"/>
    <mergeCell ref="N5:N7"/>
    <mergeCell ref="V4:Z4"/>
    <mergeCell ref="Z1:AC2"/>
    <mergeCell ref="D3:AA3"/>
    <mergeCell ref="AB3:AB7"/>
    <mergeCell ref="AC3:AC7"/>
    <mergeCell ref="Q4:U4"/>
    <mergeCell ref="AA4:AA7"/>
    <mergeCell ref="D5:D7"/>
    <mergeCell ref="Z5:Z7"/>
    <mergeCell ref="X5:X7"/>
    <mergeCell ref="P5:P7"/>
    <mergeCell ref="Q5:Q7"/>
    <mergeCell ref="Y5:Y7"/>
    <mergeCell ref="U5:U7"/>
    <mergeCell ref="E5:E7"/>
    <mergeCell ref="K5:K7"/>
    <mergeCell ref="L5:L7"/>
    <mergeCell ref="R5:R7"/>
    <mergeCell ref="S5:S7"/>
    <mergeCell ref="T5:T7"/>
    <mergeCell ref="V5:V7"/>
    <mergeCell ref="W5:W7"/>
    <mergeCell ref="L4:P4"/>
    <mergeCell ref="I5:I7"/>
    <mergeCell ref="J5:J7"/>
    <mergeCell ref="O5:O7"/>
    <mergeCell ref="F5:F7"/>
    <mergeCell ref="D4:K4"/>
    <mergeCell ref="H5:H7"/>
  </mergeCells>
  <conditionalFormatting sqref="L8:O39 Q8:T39 D8:J39">
    <cfRule type="cellIs" dxfId="8" priority="5" operator="notEqual">
      <formula>10</formula>
    </cfRule>
  </conditionalFormatting>
  <conditionalFormatting sqref="D8:Z39">
    <cfRule type="cellIs" dxfId="7" priority="1" operator="equal">
      <formula>5</formula>
    </cfRule>
    <cfRule type="cellIs" dxfId="6" priority="2" operator="equal">
      <formula>0</formula>
    </cfRule>
  </conditionalFormatting>
  <pageMargins left="0.25" right="0.25" top="0.75" bottom="0.75" header="0.3" footer="0.3"/>
  <pageSetup paperSize="9" scale="5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56"/>
  <sheetViews>
    <sheetView showGridLines="0" zoomScale="130" zoomScaleNormal="130" workbookViewId="0">
      <selection activeCell="T8" sqref="T8"/>
    </sheetView>
  </sheetViews>
  <sheetFormatPr defaultRowHeight="15" customHeight="1"/>
  <cols>
    <col min="1" max="1" width="5.140625" customWidth="1"/>
    <col min="2" max="2" width="10.5703125" customWidth="1"/>
    <col min="3" max="3" width="38.28515625" customWidth="1"/>
    <col min="4" max="32" width="4.5703125" customWidth="1"/>
    <col min="33" max="35" width="6.7109375" customWidth="1"/>
  </cols>
  <sheetData>
    <row r="1" spans="1:35" ht="12.75" customHeight="1">
      <c r="A1" s="7"/>
      <c r="B1" s="8"/>
      <c r="C1" s="31"/>
      <c r="D1" s="87" t="s">
        <v>98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9" t="s">
        <v>99</v>
      </c>
      <c r="AI1" s="90"/>
    </row>
    <row r="2" spans="1:35" ht="12.75" customHeight="1">
      <c r="A2" s="9"/>
      <c r="B2" s="37"/>
      <c r="C2" s="32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91"/>
      <c r="AI2" s="92"/>
    </row>
    <row r="3" spans="1:35" ht="12.75" customHeight="1">
      <c r="A3" s="5"/>
      <c r="B3" s="38"/>
      <c r="C3" s="6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3"/>
      <c r="AH3" s="54" t="s">
        <v>2</v>
      </c>
      <c r="AI3" s="57" t="s">
        <v>3</v>
      </c>
    </row>
    <row r="4" spans="1:35" ht="12.75" customHeight="1">
      <c r="A4" s="5"/>
      <c r="B4" s="38"/>
      <c r="C4" s="6"/>
      <c r="D4" s="70" t="s">
        <v>100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3"/>
      <c r="X4" s="93" t="s">
        <v>101</v>
      </c>
      <c r="Y4" s="52"/>
      <c r="Z4" s="52"/>
      <c r="AA4" s="52"/>
      <c r="AB4" s="52"/>
      <c r="AC4" s="94"/>
      <c r="AD4" s="52" t="s">
        <v>102</v>
      </c>
      <c r="AE4" s="52"/>
      <c r="AF4" s="94"/>
      <c r="AG4" s="60" t="s">
        <v>7</v>
      </c>
      <c r="AH4" s="55"/>
      <c r="AI4" s="58"/>
    </row>
    <row r="5" spans="1:35" ht="13.5" customHeight="1">
      <c r="A5" s="5"/>
      <c r="B5" s="38"/>
      <c r="C5" s="6"/>
      <c r="D5" s="98" t="s">
        <v>103</v>
      </c>
      <c r="E5" s="69" t="s">
        <v>104</v>
      </c>
      <c r="F5" s="108" t="s">
        <v>105</v>
      </c>
      <c r="G5" s="101" t="s">
        <v>106</v>
      </c>
      <c r="H5" s="69" t="s">
        <v>107</v>
      </c>
      <c r="I5" s="111" t="s">
        <v>108</v>
      </c>
      <c r="J5" s="63" t="s">
        <v>109</v>
      </c>
      <c r="K5" s="69" t="s">
        <v>110</v>
      </c>
      <c r="L5" s="108" t="s">
        <v>111</v>
      </c>
      <c r="M5" s="101" t="s">
        <v>112</v>
      </c>
      <c r="N5" s="69" t="s">
        <v>112</v>
      </c>
      <c r="O5" s="111" t="s">
        <v>113</v>
      </c>
      <c r="P5" s="63" t="s">
        <v>114</v>
      </c>
      <c r="Q5" s="69" t="s">
        <v>114</v>
      </c>
      <c r="R5" s="108" t="s">
        <v>115</v>
      </c>
      <c r="S5" s="101" t="s">
        <v>116</v>
      </c>
      <c r="T5" s="69" t="s">
        <v>117</v>
      </c>
      <c r="U5" s="69" t="s">
        <v>118</v>
      </c>
      <c r="V5" s="69" t="s">
        <v>114</v>
      </c>
      <c r="W5" s="95" t="s">
        <v>119</v>
      </c>
      <c r="X5" s="101" t="s">
        <v>104</v>
      </c>
      <c r="Y5" s="69" t="s">
        <v>107</v>
      </c>
      <c r="Z5" s="69" t="s">
        <v>110</v>
      </c>
      <c r="AA5" s="69" t="s">
        <v>112</v>
      </c>
      <c r="AB5" s="69" t="s">
        <v>114</v>
      </c>
      <c r="AC5" s="83" t="s">
        <v>119</v>
      </c>
      <c r="AD5" s="104" t="s">
        <v>120</v>
      </c>
      <c r="AE5" s="105" t="s">
        <v>121</v>
      </c>
      <c r="AF5" s="83" t="s">
        <v>122</v>
      </c>
      <c r="AG5" s="61"/>
      <c r="AH5" s="55"/>
      <c r="AI5" s="58"/>
    </row>
    <row r="6" spans="1:35" ht="14.45" customHeight="1">
      <c r="A6" s="5"/>
      <c r="B6" s="38"/>
      <c r="C6" s="6"/>
      <c r="D6" s="99"/>
      <c r="E6" s="67"/>
      <c r="F6" s="109"/>
      <c r="G6" s="102"/>
      <c r="H6" s="67"/>
      <c r="I6" s="112"/>
      <c r="J6" s="64"/>
      <c r="K6" s="67"/>
      <c r="L6" s="109"/>
      <c r="M6" s="102"/>
      <c r="N6" s="67"/>
      <c r="O6" s="112"/>
      <c r="P6" s="64"/>
      <c r="Q6" s="67"/>
      <c r="R6" s="109"/>
      <c r="S6" s="102"/>
      <c r="T6" s="67"/>
      <c r="U6" s="67"/>
      <c r="V6" s="67"/>
      <c r="W6" s="96"/>
      <c r="X6" s="102"/>
      <c r="Y6" s="67"/>
      <c r="Z6" s="67"/>
      <c r="AA6" s="67"/>
      <c r="AB6" s="67"/>
      <c r="AC6" s="76"/>
      <c r="AD6" s="104"/>
      <c r="AE6" s="106"/>
      <c r="AF6" s="76"/>
      <c r="AG6" s="61"/>
      <c r="AH6" s="55"/>
      <c r="AI6" s="58"/>
    </row>
    <row r="7" spans="1:35" ht="14.45" customHeight="1">
      <c r="A7" s="11" t="s">
        <v>23</v>
      </c>
      <c r="B7" s="39" t="s">
        <v>24</v>
      </c>
      <c r="C7" s="12" t="s">
        <v>25</v>
      </c>
      <c r="D7" s="100"/>
      <c r="E7" s="68"/>
      <c r="F7" s="110"/>
      <c r="G7" s="103"/>
      <c r="H7" s="68"/>
      <c r="I7" s="113"/>
      <c r="J7" s="65"/>
      <c r="K7" s="68"/>
      <c r="L7" s="110"/>
      <c r="M7" s="103"/>
      <c r="N7" s="68"/>
      <c r="O7" s="113"/>
      <c r="P7" s="65"/>
      <c r="Q7" s="68"/>
      <c r="R7" s="110"/>
      <c r="S7" s="103"/>
      <c r="T7" s="68"/>
      <c r="U7" s="68"/>
      <c r="V7" s="68"/>
      <c r="W7" s="97"/>
      <c r="X7" s="103"/>
      <c r="Y7" s="68"/>
      <c r="Z7" s="68"/>
      <c r="AA7" s="68"/>
      <c r="AB7" s="68"/>
      <c r="AC7" s="77"/>
      <c r="AD7" s="104"/>
      <c r="AE7" s="107"/>
      <c r="AF7" s="77"/>
      <c r="AG7" s="62"/>
      <c r="AH7" s="56"/>
      <c r="AI7" s="59"/>
    </row>
    <row r="8" spans="1:35" ht="15" customHeight="1">
      <c r="A8" s="13">
        <v>1</v>
      </c>
      <c r="B8" s="40">
        <v>2601919107</v>
      </c>
      <c r="C8" s="33" t="s">
        <v>123</v>
      </c>
      <c r="D8" s="25">
        <v>10</v>
      </c>
      <c r="E8" s="25">
        <v>10</v>
      </c>
      <c r="F8" s="26">
        <v>10</v>
      </c>
      <c r="G8" s="2">
        <v>10</v>
      </c>
      <c r="H8" s="3">
        <v>10</v>
      </c>
      <c r="I8" s="44">
        <v>10</v>
      </c>
      <c r="J8" s="25">
        <v>10</v>
      </c>
      <c r="K8" s="3">
        <v>10</v>
      </c>
      <c r="L8" s="1"/>
      <c r="M8" s="2"/>
      <c r="N8" s="3"/>
      <c r="O8" s="44"/>
      <c r="P8" s="2"/>
      <c r="Q8" s="3"/>
      <c r="R8" s="44"/>
      <c r="S8" s="25"/>
      <c r="T8" s="3"/>
      <c r="U8" s="3"/>
      <c r="V8" s="3"/>
      <c r="W8" s="43">
        <f>AVERAGE(D8:V8)/2</f>
        <v>5</v>
      </c>
      <c r="X8" s="2"/>
      <c r="Y8" s="26"/>
      <c r="Z8" s="3"/>
      <c r="AA8" s="26"/>
      <c r="AB8" s="1"/>
      <c r="AC8" s="22" t="e">
        <f>AVERAGE(X8:AB8)*3/10</f>
        <v>#DIV/0!</v>
      </c>
      <c r="AD8" s="1"/>
      <c r="AE8" s="1"/>
      <c r="AF8" s="22" t="e">
        <f>AVERAGE(AD8:AE8)/5</f>
        <v>#DIV/0!</v>
      </c>
      <c r="AG8" s="23" t="e">
        <f>SUM(AF8,AC8,W8)</f>
        <v>#DIV/0!</v>
      </c>
      <c r="AH8" s="4"/>
      <c r="AI8" s="2"/>
    </row>
    <row r="9" spans="1:35" ht="15" customHeight="1">
      <c r="A9" s="13">
        <v>2</v>
      </c>
      <c r="B9" s="40">
        <v>2001730342</v>
      </c>
      <c r="C9" s="33" t="s">
        <v>124</v>
      </c>
      <c r="D9" s="25">
        <v>10</v>
      </c>
      <c r="E9" s="25">
        <v>10</v>
      </c>
      <c r="F9" s="26">
        <v>10</v>
      </c>
      <c r="G9" s="2">
        <v>10</v>
      </c>
      <c r="H9" s="3">
        <v>10</v>
      </c>
      <c r="I9" s="44">
        <v>10</v>
      </c>
      <c r="J9" s="25">
        <v>10</v>
      </c>
      <c r="K9" s="3">
        <v>10</v>
      </c>
      <c r="L9" s="1"/>
      <c r="M9" s="2"/>
      <c r="N9" s="3"/>
      <c r="O9" s="44"/>
      <c r="P9" s="2"/>
      <c r="Q9" s="3"/>
      <c r="R9" s="44"/>
      <c r="S9" s="25"/>
      <c r="T9" s="3"/>
      <c r="U9" s="3"/>
      <c r="V9" s="3"/>
      <c r="W9" s="43">
        <f t="shared" ref="W9:W38" si="0">AVERAGE(D9:V9)/2</f>
        <v>5</v>
      </c>
      <c r="X9" s="2"/>
      <c r="Y9" s="26"/>
      <c r="Z9" s="3"/>
      <c r="AA9" s="26"/>
      <c r="AB9" s="1"/>
      <c r="AC9" s="22" t="e">
        <f t="shared" ref="AC9:AC38" si="1">AVERAGE(X9:AB9)/3.33</f>
        <v>#DIV/0!</v>
      </c>
      <c r="AD9" s="1"/>
      <c r="AE9" s="1"/>
      <c r="AF9" s="22" t="e">
        <f t="shared" ref="AF9:AF37" si="2">AVERAGE(AD9:AE9)/5</f>
        <v>#DIV/0!</v>
      </c>
      <c r="AG9" s="23" t="e">
        <f t="shared" ref="AG9:AG38" si="3">SUM(AF9,AC9,W9)</f>
        <v>#DIV/0!</v>
      </c>
      <c r="AH9" s="4"/>
      <c r="AI9" s="2"/>
    </row>
    <row r="10" spans="1:35" ht="15" customHeight="1">
      <c r="A10" s="13">
        <v>3</v>
      </c>
      <c r="B10" s="40">
        <v>1701576653</v>
      </c>
      <c r="C10" s="33" t="s">
        <v>125</v>
      </c>
      <c r="D10" s="25">
        <v>10</v>
      </c>
      <c r="E10" s="25">
        <v>10</v>
      </c>
      <c r="F10" s="26">
        <v>10</v>
      </c>
      <c r="G10" s="2">
        <v>10</v>
      </c>
      <c r="H10" s="3">
        <v>10</v>
      </c>
      <c r="I10" s="44">
        <v>10</v>
      </c>
      <c r="J10" s="25">
        <v>10</v>
      </c>
      <c r="K10" s="3">
        <v>10</v>
      </c>
      <c r="L10" s="1"/>
      <c r="M10" s="2"/>
      <c r="N10" s="3"/>
      <c r="O10" s="44"/>
      <c r="P10" s="2"/>
      <c r="Q10" s="3"/>
      <c r="R10" s="44"/>
      <c r="S10" s="25"/>
      <c r="T10" s="3"/>
      <c r="U10" s="3"/>
      <c r="V10" s="3"/>
      <c r="W10" s="43">
        <f t="shared" si="0"/>
        <v>5</v>
      </c>
      <c r="X10" s="2"/>
      <c r="Y10" s="26"/>
      <c r="Z10" s="3"/>
      <c r="AA10" s="26"/>
      <c r="AB10" s="1"/>
      <c r="AC10" s="22" t="e">
        <f t="shared" si="1"/>
        <v>#DIV/0!</v>
      </c>
      <c r="AD10" s="1"/>
      <c r="AE10" s="1"/>
      <c r="AF10" s="22" t="e">
        <f t="shared" si="2"/>
        <v>#DIV/0!</v>
      </c>
      <c r="AG10" s="23" t="e">
        <f t="shared" si="3"/>
        <v>#DIV/0!</v>
      </c>
      <c r="AH10" s="4"/>
      <c r="AI10" s="2"/>
    </row>
    <row r="11" spans="1:35" ht="15" customHeight="1">
      <c r="A11" s="13">
        <v>4</v>
      </c>
      <c r="B11" s="40">
        <v>202300054</v>
      </c>
      <c r="C11" s="33" t="s">
        <v>126</v>
      </c>
      <c r="D11" s="25">
        <v>10</v>
      </c>
      <c r="E11" s="25">
        <v>10</v>
      </c>
      <c r="F11" s="26">
        <v>10</v>
      </c>
      <c r="G11" s="2">
        <v>10</v>
      </c>
      <c r="H11" s="3">
        <v>10</v>
      </c>
      <c r="I11" s="44">
        <v>5</v>
      </c>
      <c r="J11" s="25">
        <v>10</v>
      </c>
      <c r="K11" s="3">
        <v>10</v>
      </c>
      <c r="L11" s="1"/>
      <c r="M11" s="2"/>
      <c r="N11" s="3"/>
      <c r="O11" s="44"/>
      <c r="P11" s="2"/>
      <c r="Q11" s="3"/>
      <c r="R11" s="44"/>
      <c r="S11" s="25"/>
      <c r="T11" s="3"/>
      <c r="U11" s="3"/>
      <c r="V11" s="3"/>
      <c r="W11" s="43">
        <f t="shared" si="0"/>
        <v>4.6875</v>
      </c>
      <c r="X11" s="2"/>
      <c r="Y11" s="26"/>
      <c r="Z11" s="3"/>
      <c r="AA11" s="26"/>
      <c r="AB11" s="1"/>
      <c r="AC11" s="22" t="e">
        <f t="shared" si="1"/>
        <v>#DIV/0!</v>
      </c>
      <c r="AD11" s="1"/>
      <c r="AE11" s="1"/>
      <c r="AF11" s="22" t="e">
        <f t="shared" si="2"/>
        <v>#DIV/0!</v>
      </c>
      <c r="AG11" s="23" t="e">
        <f t="shared" si="3"/>
        <v>#DIV/0!</v>
      </c>
      <c r="AH11" s="4"/>
      <c r="AI11" s="2"/>
    </row>
    <row r="12" spans="1:35" ht="15" customHeight="1">
      <c r="A12" s="13">
        <v>5</v>
      </c>
      <c r="B12" s="40">
        <v>2601917656</v>
      </c>
      <c r="C12" s="33" t="s">
        <v>127</v>
      </c>
      <c r="D12" s="25">
        <v>10</v>
      </c>
      <c r="E12" s="25">
        <v>10</v>
      </c>
      <c r="F12" s="26">
        <v>10</v>
      </c>
      <c r="G12" s="2">
        <v>10</v>
      </c>
      <c r="H12" s="3">
        <v>10</v>
      </c>
      <c r="I12" s="44">
        <v>10</v>
      </c>
      <c r="J12" s="25">
        <v>10</v>
      </c>
      <c r="K12" s="3">
        <v>10</v>
      </c>
      <c r="L12" s="1"/>
      <c r="M12" s="2"/>
      <c r="N12" s="3"/>
      <c r="O12" s="44"/>
      <c r="P12" s="2"/>
      <c r="Q12" s="3"/>
      <c r="R12" s="44"/>
      <c r="S12" s="25"/>
      <c r="T12" s="3"/>
      <c r="U12" s="3"/>
      <c r="V12" s="3"/>
      <c r="W12" s="43">
        <f t="shared" si="0"/>
        <v>5</v>
      </c>
      <c r="X12" s="2"/>
      <c r="Y12" s="26"/>
      <c r="Z12" s="3"/>
      <c r="AA12" s="26"/>
      <c r="AB12" s="1"/>
      <c r="AC12" s="22" t="e">
        <f t="shared" si="1"/>
        <v>#DIV/0!</v>
      </c>
      <c r="AD12" s="1"/>
      <c r="AE12" s="1"/>
      <c r="AF12" s="22" t="e">
        <f t="shared" si="2"/>
        <v>#DIV/0!</v>
      </c>
      <c r="AG12" s="23" t="e">
        <f t="shared" si="3"/>
        <v>#DIV/0!</v>
      </c>
      <c r="AH12" s="4"/>
      <c r="AI12" s="2"/>
    </row>
    <row r="13" spans="1:35" ht="15" customHeight="1">
      <c r="A13" s="13">
        <v>6</v>
      </c>
      <c r="B13" s="40">
        <v>2501902224</v>
      </c>
      <c r="C13" s="33" t="s">
        <v>128</v>
      </c>
      <c r="D13" s="25">
        <v>10</v>
      </c>
      <c r="E13" s="25">
        <v>10</v>
      </c>
      <c r="F13" s="26">
        <v>0</v>
      </c>
      <c r="G13" s="2">
        <v>10</v>
      </c>
      <c r="H13" s="3">
        <v>10</v>
      </c>
      <c r="I13" s="44">
        <v>0</v>
      </c>
      <c r="J13" s="25">
        <v>10</v>
      </c>
      <c r="K13" s="3">
        <v>10</v>
      </c>
      <c r="L13" s="1"/>
      <c r="M13" s="2"/>
      <c r="N13" s="3"/>
      <c r="O13" s="44"/>
      <c r="P13" s="2"/>
      <c r="Q13" s="3"/>
      <c r="R13" s="44"/>
      <c r="S13" s="25"/>
      <c r="T13" s="3"/>
      <c r="U13" s="3"/>
      <c r="V13" s="3"/>
      <c r="W13" s="43">
        <f t="shared" si="0"/>
        <v>3.75</v>
      </c>
      <c r="X13" s="2"/>
      <c r="Y13" s="26"/>
      <c r="Z13" s="3"/>
      <c r="AA13" s="26"/>
      <c r="AB13" s="1"/>
      <c r="AC13" s="22" t="e">
        <f t="shared" si="1"/>
        <v>#DIV/0!</v>
      </c>
      <c r="AD13" s="1"/>
      <c r="AE13" s="1"/>
      <c r="AF13" s="22" t="e">
        <f t="shared" si="2"/>
        <v>#DIV/0!</v>
      </c>
      <c r="AG13" s="23" t="e">
        <f t="shared" si="3"/>
        <v>#DIV/0!</v>
      </c>
      <c r="AH13" s="4"/>
      <c r="AI13" s="2"/>
    </row>
    <row r="14" spans="1:35" ht="15" customHeight="1">
      <c r="A14" s="13">
        <v>7</v>
      </c>
      <c r="B14" s="40">
        <v>2001730367</v>
      </c>
      <c r="C14" s="33" t="s">
        <v>129</v>
      </c>
      <c r="D14" s="25">
        <v>10</v>
      </c>
      <c r="E14" s="25">
        <v>10</v>
      </c>
      <c r="F14" s="26">
        <v>10</v>
      </c>
      <c r="G14" s="2">
        <v>0</v>
      </c>
      <c r="H14" s="3">
        <v>0</v>
      </c>
      <c r="I14" s="44">
        <v>10</v>
      </c>
      <c r="J14" s="25">
        <v>0</v>
      </c>
      <c r="K14" s="3">
        <v>0</v>
      </c>
      <c r="L14" s="1"/>
      <c r="M14" s="2"/>
      <c r="N14" s="3"/>
      <c r="O14" s="44"/>
      <c r="P14" s="2"/>
      <c r="Q14" s="3"/>
      <c r="R14" s="44"/>
      <c r="S14" s="25"/>
      <c r="T14" s="3"/>
      <c r="U14" s="3"/>
      <c r="V14" s="3"/>
      <c r="W14" s="43">
        <f t="shared" si="0"/>
        <v>2.5</v>
      </c>
      <c r="X14" s="2"/>
      <c r="Y14" s="26"/>
      <c r="Z14" s="3"/>
      <c r="AA14" s="26"/>
      <c r="AB14" s="1"/>
      <c r="AC14" s="22" t="e">
        <f t="shared" si="1"/>
        <v>#DIV/0!</v>
      </c>
      <c r="AD14" s="1"/>
      <c r="AE14" s="1"/>
      <c r="AF14" s="22" t="e">
        <f t="shared" si="2"/>
        <v>#DIV/0!</v>
      </c>
      <c r="AG14" s="23" t="e">
        <f t="shared" si="3"/>
        <v>#DIV/0!</v>
      </c>
      <c r="AH14" s="4"/>
      <c r="AI14" s="2"/>
    </row>
    <row r="15" spans="1:35" ht="15" customHeight="1">
      <c r="A15" s="13">
        <v>8</v>
      </c>
      <c r="B15" s="40">
        <v>2101767711</v>
      </c>
      <c r="C15" s="33" t="s">
        <v>130</v>
      </c>
      <c r="D15" s="25">
        <v>10</v>
      </c>
      <c r="E15" s="25">
        <v>10</v>
      </c>
      <c r="F15" s="26">
        <v>10</v>
      </c>
      <c r="G15" s="2">
        <v>10</v>
      </c>
      <c r="H15" s="3">
        <v>10</v>
      </c>
      <c r="I15" s="44">
        <v>10</v>
      </c>
      <c r="J15" s="25">
        <v>10</v>
      </c>
      <c r="K15" s="3">
        <v>10</v>
      </c>
      <c r="L15" s="1"/>
      <c r="M15" s="2"/>
      <c r="N15" s="3"/>
      <c r="O15" s="44"/>
      <c r="P15" s="2"/>
      <c r="Q15" s="3"/>
      <c r="R15" s="44"/>
      <c r="S15" s="25"/>
      <c r="T15" s="3"/>
      <c r="U15" s="3"/>
      <c r="V15" s="3"/>
      <c r="W15" s="43">
        <f t="shared" si="0"/>
        <v>5</v>
      </c>
      <c r="X15" s="2"/>
      <c r="Y15" s="26"/>
      <c r="Z15" s="3"/>
      <c r="AA15" s="26"/>
      <c r="AB15" s="1"/>
      <c r="AC15" s="22" t="e">
        <f t="shared" si="1"/>
        <v>#DIV/0!</v>
      </c>
      <c r="AD15" s="1"/>
      <c r="AE15" s="1"/>
      <c r="AF15" s="22" t="e">
        <f t="shared" si="2"/>
        <v>#DIV/0!</v>
      </c>
      <c r="AG15" s="23" t="e">
        <f t="shared" si="3"/>
        <v>#DIV/0!</v>
      </c>
      <c r="AH15" s="4"/>
      <c r="AI15" s="2"/>
    </row>
    <row r="16" spans="1:35" ht="15" customHeight="1">
      <c r="A16" s="13">
        <v>9</v>
      </c>
      <c r="B16" s="40">
        <v>2101768881</v>
      </c>
      <c r="C16" s="33" t="s">
        <v>131</v>
      </c>
      <c r="D16" s="25">
        <v>10</v>
      </c>
      <c r="E16" s="25">
        <v>10</v>
      </c>
      <c r="F16" s="26">
        <v>10</v>
      </c>
      <c r="G16" s="2">
        <v>10</v>
      </c>
      <c r="H16" s="3">
        <v>10</v>
      </c>
      <c r="I16" s="44">
        <v>10</v>
      </c>
      <c r="J16" s="25">
        <v>10</v>
      </c>
      <c r="K16" s="3">
        <v>10</v>
      </c>
      <c r="L16" s="1"/>
      <c r="M16" s="2"/>
      <c r="N16" s="3"/>
      <c r="O16" s="44"/>
      <c r="P16" s="2"/>
      <c r="Q16" s="3"/>
      <c r="R16" s="44"/>
      <c r="S16" s="25"/>
      <c r="T16" s="3"/>
      <c r="U16" s="3"/>
      <c r="V16" s="3"/>
      <c r="W16" s="43">
        <f t="shared" si="0"/>
        <v>5</v>
      </c>
      <c r="X16" s="2"/>
      <c r="Y16" s="26"/>
      <c r="Z16" s="3"/>
      <c r="AA16" s="26"/>
      <c r="AB16" s="1"/>
      <c r="AC16" s="22" t="e">
        <f t="shared" si="1"/>
        <v>#DIV/0!</v>
      </c>
      <c r="AD16" s="1"/>
      <c r="AE16" s="1"/>
      <c r="AF16" s="22" t="e">
        <f t="shared" si="2"/>
        <v>#DIV/0!</v>
      </c>
      <c r="AG16" s="23" t="e">
        <f t="shared" si="3"/>
        <v>#DIV/0!</v>
      </c>
      <c r="AH16" s="4"/>
      <c r="AI16" s="2"/>
    </row>
    <row r="17" spans="1:35" ht="15" customHeight="1">
      <c r="A17" s="13">
        <v>10</v>
      </c>
      <c r="B17" s="40">
        <v>1727423</v>
      </c>
      <c r="C17" s="33" t="s">
        <v>132</v>
      </c>
      <c r="D17" s="25">
        <v>10</v>
      </c>
      <c r="E17" s="25">
        <v>10</v>
      </c>
      <c r="F17" s="26">
        <v>10</v>
      </c>
      <c r="G17" s="2">
        <v>10</v>
      </c>
      <c r="H17" s="3">
        <v>10</v>
      </c>
      <c r="I17" s="44">
        <v>10</v>
      </c>
      <c r="J17" s="25">
        <v>10</v>
      </c>
      <c r="K17" s="3">
        <v>10</v>
      </c>
      <c r="L17" s="1"/>
      <c r="M17" s="2"/>
      <c r="N17" s="3"/>
      <c r="O17" s="44"/>
      <c r="P17" s="2"/>
      <c r="Q17" s="3"/>
      <c r="R17" s="44"/>
      <c r="S17" s="25"/>
      <c r="T17" s="3"/>
      <c r="U17" s="3"/>
      <c r="V17" s="3"/>
      <c r="W17" s="43">
        <f t="shared" si="0"/>
        <v>5</v>
      </c>
      <c r="X17" s="2"/>
      <c r="Y17" s="26"/>
      <c r="Z17" s="3"/>
      <c r="AA17" s="26"/>
      <c r="AB17" s="1"/>
      <c r="AC17" s="22" t="e">
        <f t="shared" si="1"/>
        <v>#DIV/0!</v>
      </c>
      <c r="AD17" s="1"/>
      <c r="AE17" s="1"/>
      <c r="AF17" s="22" t="e">
        <f t="shared" si="2"/>
        <v>#DIV/0!</v>
      </c>
      <c r="AG17" s="23" t="e">
        <f t="shared" si="3"/>
        <v>#DIV/0!</v>
      </c>
      <c r="AH17" s="4"/>
      <c r="AI17" s="2"/>
    </row>
    <row r="18" spans="1:35" ht="15" customHeight="1">
      <c r="A18" s="13">
        <v>11</v>
      </c>
      <c r="B18" s="40">
        <v>202300130</v>
      </c>
      <c r="C18" s="33" t="s">
        <v>133</v>
      </c>
      <c r="D18" s="25">
        <v>10</v>
      </c>
      <c r="E18" s="25">
        <v>10</v>
      </c>
      <c r="F18" s="26">
        <v>0</v>
      </c>
      <c r="G18" s="2">
        <v>10</v>
      </c>
      <c r="H18" s="3">
        <v>10</v>
      </c>
      <c r="I18" s="44">
        <v>10</v>
      </c>
      <c r="J18" s="25">
        <v>10</v>
      </c>
      <c r="K18" s="3">
        <v>10</v>
      </c>
      <c r="L18" s="1"/>
      <c r="M18" s="2"/>
      <c r="N18" s="3"/>
      <c r="O18" s="44"/>
      <c r="P18" s="2"/>
      <c r="Q18" s="3"/>
      <c r="R18" s="44"/>
      <c r="S18" s="25"/>
      <c r="T18" s="3"/>
      <c r="U18" s="3"/>
      <c r="V18" s="3"/>
      <c r="W18" s="43">
        <f t="shared" si="0"/>
        <v>4.375</v>
      </c>
      <c r="X18" s="2"/>
      <c r="Y18" s="26"/>
      <c r="Z18" s="3"/>
      <c r="AA18" s="26"/>
      <c r="AB18" s="1"/>
      <c r="AC18" s="22" t="e">
        <f t="shared" si="1"/>
        <v>#DIV/0!</v>
      </c>
      <c r="AD18" s="1"/>
      <c r="AE18" s="1"/>
      <c r="AF18" s="22" t="e">
        <f t="shared" si="2"/>
        <v>#DIV/0!</v>
      </c>
      <c r="AG18" s="23" t="e">
        <f t="shared" si="3"/>
        <v>#DIV/0!</v>
      </c>
      <c r="AH18" s="4"/>
      <c r="AI18" s="2"/>
    </row>
    <row r="19" spans="1:35" ht="15" customHeight="1">
      <c r="A19" s="13">
        <v>12</v>
      </c>
      <c r="B19" s="40">
        <v>2601919984</v>
      </c>
      <c r="C19" s="33" t="s">
        <v>134</v>
      </c>
      <c r="D19" s="1">
        <v>10</v>
      </c>
      <c r="E19" s="1">
        <v>10</v>
      </c>
      <c r="F19" s="1">
        <v>0</v>
      </c>
      <c r="G19" s="45">
        <v>10</v>
      </c>
      <c r="H19" s="1">
        <v>10</v>
      </c>
      <c r="I19" s="44">
        <v>0</v>
      </c>
      <c r="J19" s="26">
        <v>10</v>
      </c>
      <c r="K19" s="1">
        <v>10</v>
      </c>
      <c r="L19" s="1"/>
      <c r="M19" s="45"/>
      <c r="N19" s="1"/>
      <c r="O19" s="44"/>
      <c r="P19" s="45"/>
      <c r="Q19" s="1"/>
      <c r="R19" s="44"/>
      <c r="S19" s="26"/>
      <c r="T19" s="1"/>
      <c r="U19" s="1"/>
      <c r="V19" s="1"/>
      <c r="W19" s="43">
        <f t="shared" si="0"/>
        <v>3.75</v>
      </c>
      <c r="X19" s="2"/>
      <c r="Y19" s="26"/>
      <c r="Z19" s="3"/>
      <c r="AA19" s="26"/>
      <c r="AB19" s="1"/>
      <c r="AC19" s="22" t="e">
        <f t="shared" si="1"/>
        <v>#DIV/0!</v>
      </c>
      <c r="AD19" s="1"/>
      <c r="AE19" s="1"/>
      <c r="AF19" s="22" t="e">
        <f t="shared" si="2"/>
        <v>#DIV/0!</v>
      </c>
      <c r="AG19" s="23" t="e">
        <f t="shared" si="3"/>
        <v>#DIV/0!</v>
      </c>
      <c r="AH19" s="4"/>
      <c r="AI19" s="2"/>
    </row>
    <row r="20" spans="1:35" ht="15" customHeight="1">
      <c r="A20" s="13">
        <v>13</v>
      </c>
      <c r="B20" s="40">
        <v>2101772407</v>
      </c>
      <c r="C20" s="33" t="s">
        <v>135</v>
      </c>
      <c r="D20" s="25">
        <v>10</v>
      </c>
      <c r="E20" s="25">
        <v>10</v>
      </c>
      <c r="F20" s="26">
        <v>10</v>
      </c>
      <c r="G20" s="2">
        <v>10</v>
      </c>
      <c r="H20" s="3">
        <v>10</v>
      </c>
      <c r="I20" s="44">
        <v>10</v>
      </c>
      <c r="J20" s="25">
        <v>10</v>
      </c>
      <c r="K20" s="3">
        <v>10</v>
      </c>
      <c r="L20" s="1"/>
      <c r="M20" s="2"/>
      <c r="N20" s="3"/>
      <c r="O20" s="44"/>
      <c r="P20" s="2"/>
      <c r="Q20" s="3"/>
      <c r="R20" s="44"/>
      <c r="S20" s="25"/>
      <c r="T20" s="3"/>
      <c r="U20" s="3"/>
      <c r="V20" s="3"/>
      <c r="W20" s="43">
        <f t="shared" si="0"/>
        <v>5</v>
      </c>
      <c r="X20" s="2"/>
      <c r="Y20" s="26"/>
      <c r="Z20" s="3"/>
      <c r="AA20" s="26"/>
      <c r="AB20" s="1"/>
      <c r="AC20" s="22" t="e">
        <f t="shared" si="1"/>
        <v>#DIV/0!</v>
      </c>
      <c r="AD20" s="1"/>
      <c r="AE20" s="1"/>
      <c r="AF20" s="22" t="e">
        <f t="shared" si="2"/>
        <v>#DIV/0!</v>
      </c>
      <c r="AG20" s="23" t="e">
        <f t="shared" si="3"/>
        <v>#DIV/0!</v>
      </c>
      <c r="AH20" s="4"/>
      <c r="AI20" s="2"/>
    </row>
    <row r="21" spans="1:35" ht="15" customHeight="1">
      <c r="A21" s="13">
        <v>14</v>
      </c>
      <c r="B21" s="40">
        <v>2101764154</v>
      </c>
      <c r="C21" s="33" t="s">
        <v>136</v>
      </c>
      <c r="D21" s="25">
        <v>10</v>
      </c>
      <c r="E21" s="25">
        <v>10</v>
      </c>
      <c r="F21" s="26">
        <v>10</v>
      </c>
      <c r="G21" s="2">
        <v>10</v>
      </c>
      <c r="H21" s="3">
        <v>10</v>
      </c>
      <c r="I21" s="44">
        <v>10</v>
      </c>
      <c r="J21" s="25">
        <v>10</v>
      </c>
      <c r="K21" s="3">
        <v>10</v>
      </c>
      <c r="L21" s="1"/>
      <c r="M21" s="2"/>
      <c r="N21" s="3"/>
      <c r="O21" s="44"/>
      <c r="P21" s="2"/>
      <c r="Q21" s="3"/>
      <c r="R21" s="44"/>
      <c r="S21" s="25"/>
      <c r="T21" s="3"/>
      <c r="U21" s="3"/>
      <c r="V21" s="3"/>
      <c r="W21" s="43">
        <f t="shared" si="0"/>
        <v>5</v>
      </c>
      <c r="X21" s="2"/>
      <c r="Y21" s="26"/>
      <c r="Z21" s="3"/>
      <c r="AA21" s="26"/>
      <c r="AB21" s="1"/>
      <c r="AC21" s="22" t="e">
        <f t="shared" si="1"/>
        <v>#DIV/0!</v>
      </c>
      <c r="AD21" s="1"/>
      <c r="AE21" s="1"/>
      <c r="AF21" s="22" t="e">
        <f t="shared" si="2"/>
        <v>#DIV/0!</v>
      </c>
      <c r="AG21" s="23" t="e">
        <f t="shared" si="3"/>
        <v>#DIV/0!</v>
      </c>
      <c r="AH21" s="4"/>
      <c r="AI21" s="2"/>
    </row>
    <row r="22" spans="1:35" ht="15" customHeight="1">
      <c r="A22" s="13">
        <v>15</v>
      </c>
      <c r="B22" s="40">
        <v>2601917507</v>
      </c>
      <c r="C22" s="33" t="s">
        <v>137</v>
      </c>
      <c r="D22" s="25">
        <v>10</v>
      </c>
      <c r="E22" s="25">
        <v>10</v>
      </c>
      <c r="F22" s="26">
        <v>10</v>
      </c>
      <c r="G22" s="2">
        <v>10</v>
      </c>
      <c r="H22" s="3">
        <v>10</v>
      </c>
      <c r="I22" s="44">
        <v>10</v>
      </c>
      <c r="J22" s="25">
        <v>10</v>
      </c>
      <c r="K22" s="3">
        <v>10</v>
      </c>
      <c r="L22" s="1"/>
      <c r="M22" s="2"/>
      <c r="N22" s="3"/>
      <c r="O22" s="44"/>
      <c r="P22" s="2"/>
      <c r="Q22" s="3"/>
      <c r="R22" s="44"/>
      <c r="S22" s="25"/>
      <c r="T22" s="3"/>
      <c r="U22" s="3"/>
      <c r="V22" s="3"/>
      <c r="W22" s="43">
        <f t="shared" si="0"/>
        <v>5</v>
      </c>
      <c r="X22" s="2"/>
      <c r="Y22" s="26"/>
      <c r="Z22" s="3"/>
      <c r="AA22" s="26"/>
      <c r="AB22" s="1"/>
      <c r="AC22" s="22" t="e">
        <f t="shared" si="1"/>
        <v>#DIV/0!</v>
      </c>
      <c r="AD22" s="1"/>
      <c r="AE22" s="1"/>
      <c r="AF22" s="22" t="e">
        <f t="shared" si="2"/>
        <v>#DIV/0!</v>
      </c>
      <c r="AG22" s="23" t="e">
        <f t="shared" si="3"/>
        <v>#DIV/0!</v>
      </c>
      <c r="AH22" s="4"/>
      <c r="AI22" s="2"/>
    </row>
    <row r="23" spans="1:35" ht="15" customHeight="1">
      <c r="A23" s="13">
        <v>16</v>
      </c>
      <c r="B23" s="40">
        <v>2601919222</v>
      </c>
      <c r="C23" s="33" t="s">
        <v>138</v>
      </c>
      <c r="D23" s="25">
        <v>5</v>
      </c>
      <c r="E23" s="25">
        <v>10</v>
      </c>
      <c r="F23" s="26">
        <v>10</v>
      </c>
      <c r="G23" s="2"/>
      <c r="H23" s="3"/>
      <c r="I23" s="44"/>
      <c r="J23" s="25"/>
      <c r="K23" s="3"/>
      <c r="L23" s="1"/>
      <c r="M23" s="2"/>
      <c r="N23" s="3"/>
      <c r="O23" s="44"/>
      <c r="P23" s="2"/>
      <c r="Q23" s="3"/>
      <c r="R23" s="44"/>
      <c r="S23" s="25"/>
      <c r="T23" s="3"/>
      <c r="U23" s="3"/>
      <c r="V23" s="3"/>
      <c r="W23" s="43">
        <f t="shared" si="0"/>
        <v>4.166666666666667</v>
      </c>
      <c r="X23" s="2"/>
      <c r="Y23" s="26"/>
      <c r="Z23" s="3"/>
      <c r="AA23" s="26"/>
      <c r="AB23" s="1"/>
      <c r="AC23" s="22" t="e">
        <f t="shared" si="1"/>
        <v>#DIV/0!</v>
      </c>
      <c r="AD23" s="1"/>
      <c r="AE23" s="1"/>
      <c r="AF23" s="22" t="e">
        <f t="shared" si="2"/>
        <v>#DIV/0!</v>
      </c>
      <c r="AG23" s="23" t="e">
        <f t="shared" si="3"/>
        <v>#DIV/0!</v>
      </c>
      <c r="AH23" s="4"/>
      <c r="AI23" s="2"/>
    </row>
    <row r="24" spans="1:35" ht="15" customHeight="1">
      <c r="A24" s="13">
        <v>17</v>
      </c>
      <c r="B24" s="40">
        <v>2001729720</v>
      </c>
      <c r="C24" s="33" t="s">
        <v>139</v>
      </c>
      <c r="D24" s="25">
        <v>10</v>
      </c>
      <c r="E24" s="25">
        <v>10</v>
      </c>
      <c r="F24" s="26">
        <v>10</v>
      </c>
      <c r="G24" s="2">
        <v>10</v>
      </c>
      <c r="H24" s="3">
        <v>10</v>
      </c>
      <c r="I24" s="44">
        <v>10</v>
      </c>
      <c r="J24" s="25">
        <v>0</v>
      </c>
      <c r="K24" s="3">
        <v>0</v>
      </c>
      <c r="L24" s="1">
        <v>0</v>
      </c>
      <c r="M24" s="2"/>
      <c r="N24" s="3"/>
      <c r="O24" s="44"/>
      <c r="P24" s="2"/>
      <c r="Q24" s="3"/>
      <c r="R24" s="44"/>
      <c r="S24" s="25"/>
      <c r="T24" s="3"/>
      <c r="U24" s="3"/>
      <c r="V24" s="3"/>
      <c r="W24" s="43">
        <f t="shared" si="0"/>
        <v>3.3333333333333335</v>
      </c>
      <c r="X24" s="2"/>
      <c r="Y24" s="26"/>
      <c r="Z24" s="3"/>
      <c r="AA24" s="26"/>
      <c r="AB24" s="1"/>
      <c r="AC24" s="22" t="e">
        <f t="shared" si="1"/>
        <v>#DIV/0!</v>
      </c>
      <c r="AD24" s="1"/>
      <c r="AE24" s="1"/>
      <c r="AF24" s="22" t="e">
        <f t="shared" si="2"/>
        <v>#DIV/0!</v>
      </c>
      <c r="AG24" s="23" t="e">
        <f t="shared" si="3"/>
        <v>#DIV/0!</v>
      </c>
      <c r="AH24" s="4"/>
      <c r="AI24" s="2"/>
    </row>
    <row r="25" spans="1:35" ht="15" customHeight="1">
      <c r="A25" s="13">
        <v>18</v>
      </c>
      <c r="B25" s="40">
        <v>2501903418</v>
      </c>
      <c r="C25" s="33" t="s">
        <v>140</v>
      </c>
      <c r="D25" s="25">
        <v>10</v>
      </c>
      <c r="E25" s="25">
        <v>10</v>
      </c>
      <c r="F25" s="26">
        <v>10</v>
      </c>
      <c r="G25" s="2">
        <v>10</v>
      </c>
      <c r="H25" s="3">
        <v>10</v>
      </c>
      <c r="I25" s="44">
        <v>10</v>
      </c>
      <c r="J25" s="25">
        <v>10</v>
      </c>
      <c r="K25" s="3">
        <v>10</v>
      </c>
      <c r="L25" s="1"/>
      <c r="M25" s="2"/>
      <c r="N25" s="3"/>
      <c r="O25" s="44"/>
      <c r="P25" s="2"/>
      <c r="Q25" s="3"/>
      <c r="R25" s="44"/>
      <c r="S25" s="25"/>
      <c r="T25" s="3"/>
      <c r="U25" s="3"/>
      <c r="V25" s="3"/>
      <c r="W25" s="43">
        <f t="shared" si="0"/>
        <v>5</v>
      </c>
      <c r="X25" s="2"/>
      <c r="Y25" s="26"/>
      <c r="Z25" s="3"/>
      <c r="AA25" s="26"/>
      <c r="AB25" s="1"/>
      <c r="AC25" s="22" t="e">
        <f t="shared" si="1"/>
        <v>#DIV/0!</v>
      </c>
      <c r="AD25" s="1"/>
      <c r="AE25" s="1"/>
      <c r="AF25" s="22" t="e">
        <f t="shared" si="2"/>
        <v>#DIV/0!</v>
      </c>
      <c r="AG25" s="23" t="e">
        <f t="shared" si="3"/>
        <v>#DIV/0!</v>
      </c>
      <c r="AH25" s="4"/>
      <c r="AI25" s="2"/>
    </row>
    <row r="26" spans="1:35" ht="15" customHeight="1">
      <c r="A26" s="13">
        <v>19</v>
      </c>
      <c r="B26" s="40">
        <v>2101767137</v>
      </c>
      <c r="C26" s="33" t="s">
        <v>141</v>
      </c>
      <c r="D26" s="25">
        <v>10</v>
      </c>
      <c r="E26" s="25">
        <v>10</v>
      </c>
      <c r="F26" s="26">
        <v>10</v>
      </c>
      <c r="G26" s="2">
        <v>10</v>
      </c>
      <c r="H26" s="3">
        <v>10</v>
      </c>
      <c r="I26" s="44">
        <v>10</v>
      </c>
      <c r="J26" s="25">
        <v>10</v>
      </c>
      <c r="K26" s="3">
        <v>10</v>
      </c>
      <c r="L26" s="1"/>
      <c r="M26" s="2"/>
      <c r="N26" s="3"/>
      <c r="O26" s="44"/>
      <c r="P26" s="2"/>
      <c r="Q26" s="3"/>
      <c r="R26" s="44"/>
      <c r="S26" s="25"/>
      <c r="T26" s="3"/>
      <c r="U26" s="3"/>
      <c r="V26" s="3"/>
      <c r="W26" s="43">
        <f t="shared" si="0"/>
        <v>5</v>
      </c>
      <c r="X26" s="2"/>
      <c r="Y26" s="26"/>
      <c r="Z26" s="3"/>
      <c r="AA26" s="26"/>
      <c r="AB26" s="1"/>
      <c r="AC26" s="22" t="e">
        <f t="shared" si="1"/>
        <v>#DIV/0!</v>
      </c>
      <c r="AD26" s="1"/>
      <c r="AE26" s="1"/>
      <c r="AF26" s="22" t="e">
        <f t="shared" si="2"/>
        <v>#DIV/0!</v>
      </c>
      <c r="AG26" s="23" t="e">
        <f t="shared" si="3"/>
        <v>#DIV/0!</v>
      </c>
      <c r="AH26" s="4"/>
      <c r="AI26" s="2"/>
    </row>
    <row r="27" spans="1:35" ht="15" customHeight="1">
      <c r="A27" s="13">
        <v>20</v>
      </c>
      <c r="B27" s="40">
        <v>2601919185</v>
      </c>
      <c r="C27" s="33" t="s">
        <v>142</v>
      </c>
      <c r="D27" s="25">
        <v>10</v>
      </c>
      <c r="E27" s="25">
        <v>10</v>
      </c>
      <c r="F27" s="26">
        <v>10</v>
      </c>
      <c r="G27" s="2">
        <v>0</v>
      </c>
      <c r="H27" s="3">
        <v>0</v>
      </c>
      <c r="I27" s="44">
        <v>10</v>
      </c>
      <c r="J27" s="25">
        <v>0</v>
      </c>
      <c r="K27" s="3">
        <v>0</v>
      </c>
      <c r="L27" s="1"/>
      <c r="M27" s="2"/>
      <c r="N27" s="3"/>
      <c r="O27" s="44"/>
      <c r="P27" s="2"/>
      <c r="Q27" s="3"/>
      <c r="R27" s="44"/>
      <c r="S27" s="25"/>
      <c r="T27" s="3"/>
      <c r="U27" s="3"/>
      <c r="V27" s="3"/>
      <c r="W27" s="43">
        <f t="shared" si="0"/>
        <v>2.5</v>
      </c>
      <c r="X27" s="2"/>
      <c r="Y27" s="26"/>
      <c r="Z27" s="3"/>
      <c r="AA27" s="26"/>
      <c r="AB27" s="1"/>
      <c r="AC27" s="22" t="e">
        <f t="shared" si="1"/>
        <v>#DIV/0!</v>
      </c>
      <c r="AD27" s="1"/>
      <c r="AE27" s="1"/>
      <c r="AF27" s="22" t="e">
        <f t="shared" si="2"/>
        <v>#DIV/0!</v>
      </c>
      <c r="AG27" s="23" t="e">
        <f t="shared" si="3"/>
        <v>#DIV/0!</v>
      </c>
      <c r="AH27" s="4"/>
      <c r="AI27" s="2"/>
    </row>
    <row r="28" spans="1:35" ht="15" customHeight="1">
      <c r="A28" s="13">
        <v>21</v>
      </c>
      <c r="B28" s="40">
        <v>1727775</v>
      </c>
      <c r="C28" s="33" t="s">
        <v>143</v>
      </c>
      <c r="D28" s="25">
        <v>10</v>
      </c>
      <c r="E28" s="25">
        <v>10</v>
      </c>
      <c r="F28" s="26">
        <v>10</v>
      </c>
      <c r="G28" s="2">
        <v>10</v>
      </c>
      <c r="H28" s="3">
        <v>10</v>
      </c>
      <c r="I28" s="44">
        <v>10</v>
      </c>
      <c r="J28" s="25">
        <v>10</v>
      </c>
      <c r="K28" s="3">
        <v>10</v>
      </c>
      <c r="L28" s="1"/>
      <c r="M28" s="2"/>
      <c r="N28" s="3"/>
      <c r="O28" s="44"/>
      <c r="P28" s="2"/>
      <c r="Q28" s="3"/>
      <c r="R28" s="44"/>
      <c r="S28" s="25"/>
      <c r="T28" s="3"/>
      <c r="U28" s="3"/>
      <c r="V28" s="3"/>
      <c r="W28" s="43">
        <f t="shared" si="0"/>
        <v>5</v>
      </c>
      <c r="X28" s="2"/>
      <c r="Y28" s="26"/>
      <c r="Z28" s="3"/>
      <c r="AA28" s="26"/>
      <c r="AB28" s="1"/>
      <c r="AC28" s="22" t="e">
        <f t="shared" si="1"/>
        <v>#DIV/0!</v>
      </c>
      <c r="AD28" s="1"/>
      <c r="AE28" s="1"/>
      <c r="AF28" s="22" t="e">
        <f t="shared" si="2"/>
        <v>#DIV/0!</v>
      </c>
      <c r="AG28" s="23" t="e">
        <f t="shared" si="3"/>
        <v>#DIV/0!</v>
      </c>
      <c r="AH28" s="4"/>
      <c r="AI28" s="2"/>
    </row>
    <row r="29" spans="1:35" ht="15" customHeight="1">
      <c r="A29" s="13">
        <v>22</v>
      </c>
      <c r="B29" s="40">
        <v>2501904617</v>
      </c>
      <c r="C29" s="33" t="s">
        <v>144</v>
      </c>
      <c r="D29" s="25">
        <v>10</v>
      </c>
      <c r="E29" s="25">
        <v>10</v>
      </c>
      <c r="F29" s="26">
        <v>10</v>
      </c>
      <c r="G29" s="2">
        <v>10</v>
      </c>
      <c r="H29" s="3">
        <v>10</v>
      </c>
      <c r="I29" s="44">
        <v>10</v>
      </c>
      <c r="J29" s="25">
        <v>10</v>
      </c>
      <c r="K29" s="3">
        <v>10</v>
      </c>
      <c r="L29" s="1"/>
      <c r="M29" s="2"/>
      <c r="N29" s="3"/>
      <c r="O29" s="44"/>
      <c r="P29" s="2"/>
      <c r="Q29" s="3"/>
      <c r="R29" s="44"/>
      <c r="S29" s="25"/>
      <c r="T29" s="3"/>
      <c r="U29" s="3"/>
      <c r="V29" s="3"/>
      <c r="W29" s="43">
        <f t="shared" si="0"/>
        <v>5</v>
      </c>
      <c r="X29" s="2"/>
      <c r="Y29" s="26"/>
      <c r="Z29" s="3"/>
      <c r="AA29" s="26"/>
      <c r="AB29" s="1"/>
      <c r="AC29" s="22" t="e">
        <f t="shared" si="1"/>
        <v>#DIV/0!</v>
      </c>
      <c r="AD29" s="1"/>
      <c r="AE29" s="1"/>
      <c r="AF29" s="22" t="e">
        <f t="shared" si="2"/>
        <v>#DIV/0!</v>
      </c>
      <c r="AG29" s="23" t="e">
        <f t="shared" si="3"/>
        <v>#DIV/0!</v>
      </c>
      <c r="AH29" s="4"/>
      <c r="AI29" s="2"/>
    </row>
    <row r="30" spans="1:35" ht="15" customHeight="1">
      <c r="A30" s="13">
        <v>23</v>
      </c>
      <c r="B30" s="40">
        <v>1727926</v>
      </c>
      <c r="C30" s="33" t="s">
        <v>145</v>
      </c>
      <c r="D30" s="25">
        <v>10</v>
      </c>
      <c r="E30" s="25">
        <v>10</v>
      </c>
      <c r="F30" s="26">
        <v>10</v>
      </c>
      <c r="G30" s="2">
        <v>10</v>
      </c>
      <c r="H30" s="3">
        <v>10</v>
      </c>
      <c r="I30" s="44">
        <v>10</v>
      </c>
      <c r="J30" s="25">
        <v>10</v>
      </c>
      <c r="K30" s="3">
        <v>10</v>
      </c>
      <c r="L30" s="1"/>
      <c r="M30" s="2"/>
      <c r="N30" s="3"/>
      <c r="O30" s="44"/>
      <c r="P30" s="2"/>
      <c r="Q30" s="3"/>
      <c r="R30" s="44"/>
      <c r="S30" s="25"/>
      <c r="T30" s="3"/>
      <c r="U30" s="3"/>
      <c r="V30" s="3"/>
      <c r="W30" s="43">
        <f t="shared" si="0"/>
        <v>5</v>
      </c>
      <c r="X30" s="2"/>
      <c r="Y30" s="26"/>
      <c r="Z30" s="3"/>
      <c r="AA30" s="26"/>
      <c r="AB30" s="1"/>
      <c r="AC30" s="22" t="e">
        <f t="shared" si="1"/>
        <v>#DIV/0!</v>
      </c>
      <c r="AD30" s="1"/>
      <c r="AE30" s="1"/>
      <c r="AF30" s="22" t="e">
        <f t="shared" si="2"/>
        <v>#DIV/0!</v>
      </c>
      <c r="AG30" s="23" t="e">
        <f t="shared" si="3"/>
        <v>#DIV/0!</v>
      </c>
      <c r="AH30" s="4"/>
      <c r="AI30" s="2"/>
    </row>
    <row r="31" spans="1:35" ht="15" customHeight="1">
      <c r="A31" s="13">
        <v>24</v>
      </c>
      <c r="B31" s="40">
        <v>1727761</v>
      </c>
      <c r="C31" s="33" t="s">
        <v>146</v>
      </c>
      <c r="D31" s="25">
        <v>10</v>
      </c>
      <c r="E31" s="25">
        <v>10</v>
      </c>
      <c r="F31" s="26">
        <v>10</v>
      </c>
      <c r="G31" s="2">
        <v>10</v>
      </c>
      <c r="H31" s="3">
        <v>10</v>
      </c>
      <c r="I31" s="44">
        <v>10</v>
      </c>
      <c r="J31" s="25">
        <v>10</v>
      </c>
      <c r="K31" s="3">
        <v>10</v>
      </c>
      <c r="L31" s="1"/>
      <c r="M31" s="2"/>
      <c r="N31" s="3"/>
      <c r="O31" s="44"/>
      <c r="P31" s="2"/>
      <c r="Q31" s="3"/>
      <c r="R31" s="44"/>
      <c r="S31" s="25"/>
      <c r="T31" s="3"/>
      <c r="U31" s="3"/>
      <c r="V31" s="3"/>
      <c r="W31" s="43">
        <f t="shared" si="0"/>
        <v>5</v>
      </c>
      <c r="X31" s="2"/>
      <c r="Y31" s="26"/>
      <c r="Z31" s="3"/>
      <c r="AA31" s="26"/>
      <c r="AB31" s="1"/>
      <c r="AC31" s="22" t="e">
        <f t="shared" si="1"/>
        <v>#DIV/0!</v>
      </c>
      <c r="AD31" s="1"/>
      <c r="AE31" s="1"/>
      <c r="AF31" s="22" t="e">
        <f t="shared" si="2"/>
        <v>#DIV/0!</v>
      </c>
      <c r="AG31" s="23" t="e">
        <f t="shared" si="3"/>
        <v>#DIV/0!</v>
      </c>
      <c r="AH31" s="4"/>
      <c r="AI31" s="2"/>
    </row>
    <row r="32" spans="1:35" ht="15" customHeight="1">
      <c r="A32" s="13">
        <v>25</v>
      </c>
      <c r="B32" s="40">
        <v>1727732</v>
      </c>
      <c r="C32" s="33" t="s">
        <v>147</v>
      </c>
      <c r="D32" s="25">
        <v>10</v>
      </c>
      <c r="E32" s="25">
        <v>10</v>
      </c>
      <c r="F32" s="26">
        <v>10</v>
      </c>
      <c r="G32" s="2">
        <v>10</v>
      </c>
      <c r="H32" s="3">
        <v>10</v>
      </c>
      <c r="I32" s="44">
        <v>10</v>
      </c>
      <c r="J32" s="25">
        <v>10</v>
      </c>
      <c r="K32" s="3">
        <v>10</v>
      </c>
      <c r="L32" s="1"/>
      <c r="M32" s="2"/>
      <c r="N32" s="3"/>
      <c r="O32" s="44"/>
      <c r="P32" s="2"/>
      <c r="Q32" s="3"/>
      <c r="R32" s="44"/>
      <c r="S32" s="25"/>
      <c r="T32" s="3"/>
      <c r="U32" s="3"/>
      <c r="V32" s="3"/>
      <c r="W32" s="43">
        <f t="shared" si="0"/>
        <v>5</v>
      </c>
      <c r="X32" s="2"/>
      <c r="Y32" s="26"/>
      <c r="Z32" s="3"/>
      <c r="AA32" s="26"/>
      <c r="AB32" s="1"/>
      <c r="AC32" s="22" t="e">
        <f t="shared" si="1"/>
        <v>#DIV/0!</v>
      </c>
      <c r="AD32" s="1"/>
      <c r="AE32" s="1"/>
      <c r="AF32" s="22" t="e">
        <f t="shared" si="2"/>
        <v>#DIV/0!</v>
      </c>
      <c r="AG32" s="23" t="e">
        <f t="shared" si="3"/>
        <v>#DIV/0!</v>
      </c>
      <c r="AH32" s="4"/>
      <c r="AI32" s="2"/>
    </row>
    <row r="33" spans="1:35" ht="15" customHeight="1">
      <c r="A33" s="13">
        <v>26</v>
      </c>
      <c r="B33" s="40">
        <v>1701581861</v>
      </c>
      <c r="C33" s="33" t="s">
        <v>148</v>
      </c>
      <c r="D33" s="25">
        <v>5</v>
      </c>
      <c r="E33" s="25">
        <v>10</v>
      </c>
      <c r="F33" s="26">
        <v>10</v>
      </c>
      <c r="G33" s="2">
        <v>10</v>
      </c>
      <c r="H33" s="3">
        <v>10</v>
      </c>
      <c r="I33" s="44">
        <v>10</v>
      </c>
      <c r="J33" s="25">
        <v>10</v>
      </c>
      <c r="K33" s="3">
        <v>10</v>
      </c>
      <c r="L33" s="1"/>
      <c r="M33" s="2"/>
      <c r="N33" s="3"/>
      <c r="O33" s="44"/>
      <c r="P33" s="2"/>
      <c r="Q33" s="3"/>
      <c r="R33" s="44"/>
      <c r="S33" s="25"/>
      <c r="T33" s="3"/>
      <c r="U33" s="3"/>
      <c r="V33" s="3"/>
      <c r="W33" s="43">
        <f t="shared" si="0"/>
        <v>4.6875</v>
      </c>
      <c r="X33" s="2"/>
      <c r="Y33" s="26"/>
      <c r="Z33" s="3"/>
      <c r="AA33" s="26"/>
      <c r="AB33" s="1"/>
      <c r="AC33" s="22" t="e">
        <f t="shared" si="1"/>
        <v>#DIV/0!</v>
      </c>
      <c r="AD33" s="1"/>
      <c r="AE33" s="1"/>
      <c r="AF33" s="22" t="e">
        <f t="shared" si="2"/>
        <v>#DIV/0!</v>
      </c>
      <c r="AG33" s="23" t="e">
        <f t="shared" si="3"/>
        <v>#DIV/0!</v>
      </c>
      <c r="AH33" s="4"/>
      <c r="AI33" s="2"/>
    </row>
    <row r="34" spans="1:35" ht="15" customHeight="1">
      <c r="A34" s="13">
        <v>27</v>
      </c>
      <c r="B34" s="40">
        <v>2601918643</v>
      </c>
      <c r="C34" s="33" t="s">
        <v>149</v>
      </c>
      <c r="D34" s="25">
        <v>10</v>
      </c>
      <c r="E34" s="25">
        <v>10</v>
      </c>
      <c r="F34" s="26">
        <v>10</v>
      </c>
      <c r="G34" s="2">
        <v>10</v>
      </c>
      <c r="H34" s="3">
        <v>10</v>
      </c>
      <c r="I34" s="44">
        <v>10</v>
      </c>
      <c r="J34" s="25">
        <v>10</v>
      </c>
      <c r="K34" s="3">
        <v>10</v>
      </c>
      <c r="L34" s="1"/>
      <c r="M34" s="2"/>
      <c r="N34" s="3"/>
      <c r="O34" s="44"/>
      <c r="P34" s="2"/>
      <c r="Q34" s="3"/>
      <c r="R34" s="44"/>
      <c r="S34" s="25"/>
      <c r="T34" s="3"/>
      <c r="U34" s="3"/>
      <c r="V34" s="3"/>
      <c r="W34" s="43">
        <f t="shared" si="0"/>
        <v>5</v>
      </c>
      <c r="X34" s="2"/>
      <c r="Y34" s="26"/>
      <c r="Z34" s="3"/>
      <c r="AA34" s="26"/>
      <c r="AB34" s="1"/>
      <c r="AC34" s="22" t="e">
        <f t="shared" si="1"/>
        <v>#DIV/0!</v>
      </c>
      <c r="AD34" s="1"/>
      <c r="AE34" s="1"/>
      <c r="AF34" s="22" t="e">
        <f t="shared" si="2"/>
        <v>#DIV/0!</v>
      </c>
      <c r="AG34" s="23" t="e">
        <f t="shared" si="3"/>
        <v>#DIV/0!</v>
      </c>
      <c r="AH34" s="4"/>
      <c r="AI34" s="2"/>
    </row>
    <row r="35" spans="1:35" ht="15" customHeight="1">
      <c r="A35" s="13">
        <v>28</v>
      </c>
      <c r="B35" s="40">
        <v>1801625776</v>
      </c>
      <c r="C35" s="33" t="s">
        <v>150</v>
      </c>
      <c r="D35" s="25">
        <v>10</v>
      </c>
      <c r="E35" s="25">
        <v>10</v>
      </c>
      <c r="F35" s="26">
        <v>10</v>
      </c>
      <c r="G35" s="2">
        <v>10</v>
      </c>
      <c r="H35" s="3">
        <v>10</v>
      </c>
      <c r="I35" s="44"/>
      <c r="J35" s="25">
        <v>0</v>
      </c>
      <c r="K35" s="3">
        <v>0</v>
      </c>
      <c r="L35" s="1"/>
      <c r="M35" s="2"/>
      <c r="N35" s="3"/>
      <c r="O35" s="44"/>
      <c r="P35" s="2"/>
      <c r="Q35" s="3"/>
      <c r="R35" s="44"/>
      <c r="S35" s="25"/>
      <c r="T35" s="3"/>
      <c r="U35" s="3"/>
      <c r="V35" s="3"/>
      <c r="W35" s="43">
        <f t="shared" si="0"/>
        <v>3.5714285714285716</v>
      </c>
      <c r="X35" s="2"/>
      <c r="Y35" s="26"/>
      <c r="Z35" s="3"/>
      <c r="AA35" s="26"/>
      <c r="AB35" s="1"/>
      <c r="AC35" s="22" t="e">
        <f t="shared" si="1"/>
        <v>#DIV/0!</v>
      </c>
      <c r="AD35" s="1"/>
      <c r="AE35" s="1"/>
      <c r="AF35" s="22" t="e">
        <f t="shared" si="2"/>
        <v>#DIV/0!</v>
      </c>
      <c r="AG35" s="23" t="e">
        <f t="shared" si="3"/>
        <v>#DIV/0!</v>
      </c>
      <c r="AH35" s="4"/>
      <c r="AI35" s="2"/>
    </row>
    <row r="36" spans="1:35" ht="15" customHeight="1">
      <c r="A36" s="13">
        <v>29</v>
      </c>
      <c r="B36" s="40">
        <v>2301832734</v>
      </c>
      <c r="C36" s="33" t="s">
        <v>151</v>
      </c>
      <c r="D36" s="25">
        <v>10</v>
      </c>
      <c r="E36" s="25">
        <v>10</v>
      </c>
      <c r="F36" s="26">
        <v>10</v>
      </c>
      <c r="G36" s="2">
        <v>10</v>
      </c>
      <c r="H36" s="3">
        <v>10</v>
      </c>
      <c r="I36" s="44">
        <v>10</v>
      </c>
      <c r="J36" s="25">
        <v>10</v>
      </c>
      <c r="K36" s="3">
        <v>10</v>
      </c>
      <c r="L36" s="1"/>
      <c r="M36" s="2"/>
      <c r="N36" s="3"/>
      <c r="O36" s="44"/>
      <c r="P36" s="2"/>
      <c r="Q36" s="3"/>
      <c r="R36" s="44"/>
      <c r="S36" s="25"/>
      <c r="T36" s="3"/>
      <c r="U36" s="3"/>
      <c r="V36" s="3"/>
      <c r="W36" s="43">
        <f t="shared" si="0"/>
        <v>5</v>
      </c>
      <c r="X36" s="2"/>
      <c r="Y36" s="26"/>
      <c r="Z36" s="3"/>
      <c r="AA36" s="26"/>
      <c r="AB36" s="1"/>
      <c r="AC36" s="22" t="e">
        <f t="shared" si="1"/>
        <v>#DIV/0!</v>
      </c>
      <c r="AD36" s="1"/>
      <c r="AE36" s="1"/>
      <c r="AF36" s="22" t="e">
        <f t="shared" si="2"/>
        <v>#DIV/0!</v>
      </c>
      <c r="AG36" s="23" t="e">
        <f t="shared" si="3"/>
        <v>#DIV/0!</v>
      </c>
      <c r="AH36" s="4"/>
      <c r="AI36" s="2"/>
    </row>
    <row r="37" spans="1:35" ht="15" customHeight="1">
      <c r="A37" s="13">
        <v>30</v>
      </c>
      <c r="B37" s="40">
        <v>2301833716</v>
      </c>
      <c r="C37" s="33" t="s">
        <v>152</v>
      </c>
      <c r="D37" s="25">
        <v>10</v>
      </c>
      <c r="E37" s="25">
        <v>10</v>
      </c>
      <c r="F37" s="26">
        <v>10</v>
      </c>
      <c r="G37" s="2">
        <v>10</v>
      </c>
      <c r="H37" s="3">
        <v>10</v>
      </c>
      <c r="I37" s="44">
        <v>10</v>
      </c>
      <c r="J37" s="25">
        <v>10</v>
      </c>
      <c r="K37" s="3">
        <v>0</v>
      </c>
      <c r="L37" s="1"/>
      <c r="M37" s="2"/>
      <c r="N37" s="3"/>
      <c r="O37" s="44"/>
      <c r="P37" s="2"/>
      <c r="Q37" s="3"/>
      <c r="R37" s="44"/>
      <c r="S37" s="25"/>
      <c r="T37" s="3"/>
      <c r="U37" s="3"/>
      <c r="V37" s="3"/>
      <c r="W37" s="43">
        <f t="shared" si="0"/>
        <v>4.375</v>
      </c>
      <c r="X37" s="2"/>
      <c r="Y37" s="26"/>
      <c r="Z37" s="3"/>
      <c r="AA37" s="26"/>
      <c r="AB37" s="1"/>
      <c r="AC37" s="22" t="e">
        <f t="shared" si="1"/>
        <v>#DIV/0!</v>
      </c>
      <c r="AD37" s="1"/>
      <c r="AE37" s="1"/>
      <c r="AF37" s="22" t="e">
        <f t="shared" si="2"/>
        <v>#DIV/0!</v>
      </c>
      <c r="AG37" s="23" t="e">
        <f t="shared" si="3"/>
        <v>#DIV/0!</v>
      </c>
      <c r="AH37" s="4"/>
      <c r="AI37" s="2"/>
    </row>
    <row r="38" spans="1:35" ht="15" customHeight="1">
      <c r="A38" s="13">
        <v>31</v>
      </c>
      <c r="B38" s="40">
        <v>2601917622</v>
      </c>
      <c r="C38" s="33" t="s">
        <v>153</v>
      </c>
      <c r="D38" s="25">
        <v>10</v>
      </c>
      <c r="E38" s="25">
        <v>10</v>
      </c>
      <c r="F38" s="26">
        <v>10</v>
      </c>
      <c r="G38" s="2">
        <v>10</v>
      </c>
      <c r="H38" s="3">
        <v>10</v>
      </c>
      <c r="I38" s="44">
        <v>10</v>
      </c>
      <c r="J38" s="25">
        <v>10</v>
      </c>
      <c r="K38" s="3">
        <v>10</v>
      </c>
      <c r="L38" s="1"/>
      <c r="M38" s="2"/>
      <c r="N38" s="3"/>
      <c r="O38" s="44"/>
      <c r="P38" s="2"/>
      <c r="Q38" s="3"/>
      <c r="R38" s="44"/>
      <c r="S38" s="25"/>
      <c r="T38" s="3"/>
      <c r="U38" s="3"/>
      <c r="V38" s="3"/>
      <c r="W38" s="43">
        <f t="shared" si="0"/>
        <v>5</v>
      </c>
      <c r="X38" s="2"/>
      <c r="Y38" s="26"/>
      <c r="Z38" s="3"/>
      <c r="AA38" s="26"/>
      <c r="AB38" s="1"/>
      <c r="AC38" s="22" t="e">
        <f t="shared" si="1"/>
        <v>#DIV/0!</v>
      </c>
      <c r="AD38" s="1"/>
      <c r="AE38" s="1"/>
      <c r="AF38" s="22" t="e">
        <f t="shared" ref="AF38" si="4">AVERAGE(AD38:AE38)</f>
        <v>#DIV/0!</v>
      </c>
      <c r="AG38" s="23" t="e">
        <f t="shared" si="3"/>
        <v>#DIV/0!</v>
      </c>
      <c r="AH38" s="4"/>
      <c r="AI38" s="2"/>
    </row>
    <row r="39" spans="1:35" ht="14.45">
      <c r="A39" s="17"/>
      <c r="B39" s="41"/>
    </row>
    <row r="40" spans="1:35" ht="14.45">
      <c r="A40" s="17"/>
      <c r="B40" s="41"/>
    </row>
    <row r="41" spans="1:35" ht="14.45">
      <c r="A41" s="17"/>
      <c r="B41" s="41"/>
    </row>
    <row r="42" spans="1:35" ht="14.45">
      <c r="A42" s="17"/>
      <c r="B42" s="41"/>
    </row>
    <row r="43" spans="1:35" ht="14.45">
      <c r="A43" s="17"/>
      <c r="B43" s="41"/>
    </row>
    <row r="44" spans="1:35" ht="14.45">
      <c r="A44" s="17"/>
      <c r="B44" s="41"/>
    </row>
    <row r="45" spans="1:35" ht="14.45">
      <c r="A45" s="17"/>
      <c r="B45" s="41"/>
    </row>
    <row r="46" spans="1:35" ht="14.45">
      <c r="A46" s="17"/>
      <c r="B46" s="41"/>
    </row>
    <row r="47" spans="1:35" ht="14.45">
      <c r="A47" s="17"/>
      <c r="B47" s="41"/>
    </row>
    <row r="48" spans="1:35" ht="14.45">
      <c r="A48" s="17"/>
      <c r="B48" s="41"/>
    </row>
    <row r="49" spans="1:3" ht="14.45">
      <c r="A49" s="17"/>
      <c r="B49" s="41"/>
    </row>
    <row r="50" spans="1:3" ht="14.45">
      <c r="A50" s="17"/>
      <c r="B50" s="41"/>
    </row>
    <row r="51" spans="1:3" ht="14.45">
      <c r="A51" s="17"/>
      <c r="B51" s="41"/>
    </row>
    <row r="52" spans="1:3" ht="14.45">
      <c r="A52" s="17"/>
      <c r="B52" s="41"/>
    </row>
    <row r="53" spans="1:3" ht="14.45">
      <c r="A53" s="17"/>
      <c r="B53" s="41"/>
    </row>
    <row r="54" spans="1:3" ht="14.45">
      <c r="A54" s="17"/>
      <c r="B54" s="41"/>
    </row>
    <row r="55" spans="1:3" ht="14.45">
      <c r="A55" s="17"/>
      <c r="B55" s="41"/>
    </row>
    <row r="56" spans="1:3" ht="14.45">
      <c r="A56" s="19"/>
      <c r="B56" s="20"/>
      <c r="C56" s="20"/>
    </row>
  </sheetData>
  <mergeCells count="38">
    <mergeCell ref="R5:R7"/>
    <mergeCell ref="M5:M7"/>
    <mergeCell ref="N5:N7"/>
    <mergeCell ref="O5:O7"/>
    <mergeCell ref="P5:P7"/>
    <mergeCell ref="Q5:Q7"/>
    <mergeCell ref="AD5:AD7"/>
    <mergeCell ref="AE5:AE7"/>
    <mergeCell ref="AF5:AF7"/>
    <mergeCell ref="E5:E7"/>
    <mergeCell ref="G5:G7"/>
    <mergeCell ref="J5:J7"/>
    <mergeCell ref="S5:S7"/>
    <mergeCell ref="U5:U7"/>
    <mergeCell ref="Y5:Y7"/>
    <mergeCell ref="Z5:Z7"/>
    <mergeCell ref="AA5:AA7"/>
    <mergeCell ref="AB5:AB7"/>
    <mergeCell ref="AC5:AC7"/>
    <mergeCell ref="F5:F7"/>
    <mergeCell ref="I5:I7"/>
    <mergeCell ref="L5:L7"/>
    <mergeCell ref="D1:AG2"/>
    <mergeCell ref="AH1:AI2"/>
    <mergeCell ref="D3:AG3"/>
    <mergeCell ref="AH3:AH7"/>
    <mergeCell ref="AI3:AI7"/>
    <mergeCell ref="D4:W4"/>
    <mergeCell ref="X4:AC4"/>
    <mergeCell ref="AD4:AF4"/>
    <mergeCell ref="AG4:AG7"/>
    <mergeCell ref="W5:W7"/>
    <mergeCell ref="D5:D7"/>
    <mergeCell ref="H5:H7"/>
    <mergeCell ref="K5:K7"/>
    <mergeCell ref="T5:T7"/>
    <mergeCell ref="V5:V7"/>
    <mergeCell ref="X5:X7"/>
  </mergeCells>
  <conditionalFormatting sqref="D8:O38 S8:AI38">
    <cfRule type="cellIs" dxfId="5" priority="2" operator="lessThan">
      <formula>7</formula>
    </cfRule>
  </conditionalFormatting>
  <conditionalFormatting sqref="P8:R38">
    <cfRule type="cellIs" dxfId="4" priority="1" operator="lessThan">
      <formula>7</formula>
    </cfRule>
  </conditionalFormatting>
  <pageMargins left="0.25" right="0.25" top="0.75" bottom="0.75" header="0.3" footer="0.3"/>
  <pageSetup paperSize="9" scale="4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1">
    <pageSetUpPr fitToPage="1"/>
  </sheetPr>
  <dimension ref="A1:AL70"/>
  <sheetViews>
    <sheetView showGridLines="0" zoomScale="130" zoomScaleNormal="130" workbookViewId="0">
      <selection activeCell="X23" sqref="X23"/>
    </sheetView>
  </sheetViews>
  <sheetFormatPr defaultRowHeight="15" customHeight="1"/>
  <cols>
    <col min="1" max="1" width="5.140625" customWidth="1"/>
    <col min="2" max="2" width="11.42578125" customWidth="1"/>
    <col min="3" max="3" width="43.7109375" bestFit="1" customWidth="1"/>
    <col min="4" max="35" width="4.28515625" customWidth="1"/>
    <col min="36" max="38" width="6.7109375" customWidth="1"/>
  </cols>
  <sheetData>
    <row r="1" spans="1:38" ht="12.75" customHeight="1">
      <c r="A1" s="7"/>
      <c r="B1" s="8"/>
      <c r="C1" s="31"/>
      <c r="D1" s="87" t="s">
        <v>98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9" t="s">
        <v>154</v>
      </c>
      <c r="AL1" s="90"/>
    </row>
    <row r="2" spans="1:38" ht="12.75" customHeight="1">
      <c r="A2" s="9"/>
      <c r="B2" s="37"/>
      <c r="C2" s="32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91"/>
      <c r="AL2" s="92"/>
    </row>
    <row r="3" spans="1:38" ht="12.75" customHeight="1">
      <c r="A3" s="5"/>
      <c r="B3" s="38"/>
      <c r="C3" s="6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3"/>
      <c r="AK3" s="54" t="s">
        <v>2</v>
      </c>
      <c r="AL3" s="57" t="s">
        <v>3</v>
      </c>
    </row>
    <row r="4" spans="1:38" ht="12.75" customHeight="1">
      <c r="A4" s="5"/>
      <c r="B4" s="38"/>
      <c r="C4" s="6"/>
      <c r="D4" s="70" t="s">
        <v>100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3"/>
      <c r="AA4" s="93" t="s">
        <v>101</v>
      </c>
      <c r="AB4" s="52"/>
      <c r="AC4" s="52"/>
      <c r="AD4" s="52"/>
      <c r="AE4" s="52"/>
      <c r="AF4" s="94"/>
      <c r="AG4" s="52" t="s">
        <v>102</v>
      </c>
      <c r="AH4" s="52"/>
      <c r="AI4" s="94"/>
      <c r="AJ4" s="60" t="s">
        <v>7</v>
      </c>
      <c r="AK4" s="55"/>
      <c r="AL4" s="58"/>
    </row>
    <row r="5" spans="1:38" ht="13.5" customHeight="1">
      <c r="A5" s="5"/>
      <c r="B5" s="38"/>
      <c r="C5" s="6"/>
      <c r="D5" s="98" t="s">
        <v>103</v>
      </c>
      <c r="E5" s="69" t="s">
        <v>104</v>
      </c>
      <c r="F5" s="108" t="s">
        <v>105</v>
      </c>
      <c r="G5" s="101" t="s">
        <v>155</v>
      </c>
      <c r="H5" s="69" t="s">
        <v>107</v>
      </c>
      <c r="I5" s="111" t="s">
        <v>156</v>
      </c>
      <c r="J5" s="63" t="s">
        <v>109</v>
      </c>
      <c r="K5" s="69" t="s">
        <v>157</v>
      </c>
      <c r="L5" s="108" t="s">
        <v>158</v>
      </c>
      <c r="M5" s="101" t="s">
        <v>112</v>
      </c>
      <c r="N5" s="69" t="s">
        <v>112</v>
      </c>
      <c r="O5" s="111" t="s">
        <v>113</v>
      </c>
      <c r="P5" s="63" t="s">
        <v>114</v>
      </c>
      <c r="Q5" s="69" t="s">
        <v>114</v>
      </c>
      <c r="R5" s="111" t="s">
        <v>115</v>
      </c>
      <c r="S5" s="101" t="s">
        <v>116</v>
      </c>
      <c r="T5" s="69" t="s">
        <v>116</v>
      </c>
      <c r="U5" s="111" t="s">
        <v>118</v>
      </c>
      <c r="V5" s="63" t="s">
        <v>159</v>
      </c>
      <c r="W5" s="69" t="s">
        <v>159</v>
      </c>
      <c r="X5" s="111" t="s">
        <v>160</v>
      </c>
      <c r="Y5" s="63" t="s">
        <v>161</v>
      </c>
      <c r="Z5" s="95" t="s">
        <v>119</v>
      </c>
      <c r="AA5" s="101" t="s">
        <v>104</v>
      </c>
      <c r="AB5" s="69" t="s">
        <v>107</v>
      </c>
      <c r="AC5" s="69" t="s">
        <v>110</v>
      </c>
      <c r="AD5" s="69" t="s">
        <v>112</v>
      </c>
      <c r="AE5" s="69" t="s">
        <v>114</v>
      </c>
      <c r="AF5" s="83" t="s">
        <v>119</v>
      </c>
      <c r="AG5" s="104" t="s">
        <v>120</v>
      </c>
      <c r="AH5" s="105" t="s">
        <v>121</v>
      </c>
      <c r="AI5" s="83" t="s">
        <v>122</v>
      </c>
      <c r="AJ5" s="61"/>
      <c r="AK5" s="55"/>
      <c r="AL5" s="58"/>
    </row>
    <row r="6" spans="1:38" ht="14.45" customHeight="1">
      <c r="A6" s="5"/>
      <c r="B6" s="38"/>
      <c r="C6" s="6"/>
      <c r="D6" s="99"/>
      <c r="E6" s="67"/>
      <c r="F6" s="109"/>
      <c r="G6" s="102"/>
      <c r="H6" s="67"/>
      <c r="I6" s="112"/>
      <c r="J6" s="64"/>
      <c r="K6" s="67"/>
      <c r="L6" s="109"/>
      <c r="M6" s="102"/>
      <c r="N6" s="67"/>
      <c r="O6" s="112"/>
      <c r="P6" s="64"/>
      <c r="Q6" s="67"/>
      <c r="R6" s="112"/>
      <c r="S6" s="102"/>
      <c r="T6" s="67"/>
      <c r="U6" s="112"/>
      <c r="V6" s="64"/>
      <c r="W6" s="67"/>
      <c r="X6" s="112"/>
      <c r="Y6" s="64"/>
      <c r="Z6" s="96"/>
      <c r="AA6" s="102"/>
      <c r="AB6" s="67"/>
      <c r="AC6" s="67"/>
      <c r="AD6" s="67"/>
      <c r="AE6" s="67"/>
      <c r="AF6" s="76"/>
      <c r="AG6" s="104"/>
      <c r="AH6" s="106"/>
      <c r="AI6" s="76"/>
      <c r="AJ6" s="61"/>
      <c r="AK6" s="55"/>
      <c r="AL6" s="58"/>
    </row>
    <row r="7" spans="1:38" ht="14.45" customHeight="1">
      <c r="A7" s="11" t="s">
        <v>23</v>
      </c>
      <c r="B7" s="39" t="s">
        <v>24</v>
      </c>
      <c r="C7" s="12" t="s">
        <v>25</v>
      </c>
      <c r="D7" s="100"/>
      <c r="E7" s="68"/>
      <c r="F7" s="110"/>
      <c r="G7" s="103"/>
      <c r="H7" s="68"/>
      <c r="I7" s="113"/>
      <c r="J7" s="65"/>
      <c r="K7" s="68"/>
      <c r="L7" s="110"/>
      <c r="M7" s="103"/>
      <c r="N7" s="68"/>
      <c r="O7" s="113"/>
      <c r="P7" s="65"/>
      <c r="Q7" s="68"/>
      <c r="R7" s="113"/>
      <c r="S7" s="103"/>
      <c r="T7" s="68"/>
      <c r="U7" s="113"/>
      <c r="V7" s="65"/>
      <c r="W7" s="68"/>
      <c r="X7" s="113"/>
      <c r="Y7" s="65"/>
      <c r="Z7" s="97"/>
      <c r="AA7" s="103"/>
      <c r="AB7" s="68"/>
      <c r="AC7" s="68"/>
      <c r="AD7" s="68"/>
      <c r="AE7" s="68"/>
      <c r="AF7" s="77"/>
      <c r="AG7" s="104"/>
      <c r="AH7" s="107"/>
      <c r="AI7" s="77"/>
      <c r="AJ7" s="62"/>
      <c r="AK7" s="56"/>
      <c r="AL7" s="59"/>
    </row>
    <row r="8" spans="1:38" ht="15" customHeight="1">
      <c r="A8" s="13">
        <v>1</v>
      </c>
      <c r="B8" s="40">
        <v>1727510</v>
      </c>
      <c r="C8" s="33" t="s">
        <v>162</v>
      </c>
      <c r="D8" s="25">
        <v>10</v>
      </c>
      <c r="E8" s="25">
        <v>10</v>
      </c>
      <c r="F8" s="26">
        <v>10</v>
      </c>
      <c r="G8" s="2">
        <v>10</v>
      </c>
      <c r="H8" s="3">
        <v>10</v>
      </c>
      <c r="I8" s="44">
        <v>10</v>
      </c>
      <c r="J8" s="25">
        <v>10</v>
      </c>
      <c r="K8" s="3">
        <v>10</v>
      </c>
      <c r="L8" s="1">
        <v>10</v>
      </c>
      <c r="M8" s="2"/>
      <c r="N8" s="3"/>
      <c r="O8" s="44"/>
      <c r="P8" s="25"/>
      <c r="Q8" s="3"/>
      <c r="R8" s="44"/>
      <c r="S8" s="2"/>
      <c r="T8" s="3"/>
      <c r="U8" s="44"/>
      <c r="V8" s="25"/>
      <c r="W8" s="3"/>
      <c r="X8" s="44"/>
      <c r="Y8" s="25"/>
      <c r="Z8" s="43">
        <f>AVERAGE(D8:Y8)/2</f>
        <v>5</v>
      </c>
      <c r="AA8" s="2"/>
      <c r="AB8" s="26"/>
      <c r="AC8" s="3"/>
      <c r="AD8" s="26"/>
      <c r="AE8" s="1"/>
      <c r="AF8" s="22" t="e">
        <f>AVERAGE(AA8:AE8)*3/10</f>
        <v>#DIV/0!</v>
      </c>
      <c r="AG8" s="1"/>
      <c r="AH8" s="1"/>
      <c r="AI8" s="22" t="e">
        <f>AVERAGE(AG8:AH8)/5</f>
        <v>#DIV/0!</v>
      </c>
      <c r="AJ8" s="23" t="e">
        <f>SUM(AI8,AF8,Z8)</f>
        <v>#DIV/0!</v>
      </c>
      <c r="AK8" s="4"/>
      <c r="AL8" s="2"/>
    </row>
    <row r="9" spans="1:38" ht="15" customHeight="1">
      <c r="A9" s="13">
        <v>2</v>
      </c>
      <c r="B9" s="40">
        <v>1727805</v>
      </c>
      <c r="C9" s="33" t="s">
        <v>163</v>
      </c>
      <c r="D9" s="25">
        <v>10</v>
      </c>
      <c r="E9" s="25">
        <v>10</v>
      </c>
      <c r="F9" s="26">
        <v>0</v>
      </c>
      <c r="G9" s="2">
        <v>5</v>
      </c>
      <c r="H9" s="3">
        <v>0</v>
      </c>
      <c r="I9" s="44">
        <v>10</v>
      </c>
      <c r="J9" s="25" t="s">
        <v>31</v>
      </c>
      <c r="K9" s="3" t="s">
        <v>31</v>
      </c>
      <c r="L9" s="1" t="s">
        <v>31</v>
      </c>
      <c r="M9" s="2"/>
      <c r="N9" s="3"/>
      <c r="O9" s="44"/>
      <c r="P9" s="25"/>
      <c r="Q9" s="3"/>
      <c r="R9" s="44"/>
      <c r="S9" s="2"/>
      <c r="T9" s="3"/>
      <c r="U9" s="44"/>
      <c r="V9" s="25"/>
      <c r="W9" s="3"/>
      <c r="X9" s="44"/>
      <c r="Y9" s="25"/>
      <c r="Z9" s="43">
        <f t="shared" ref="Z9:AA38" si="0">AVERAGE(D9:Y9)/2</f>
        <v>2.9166666666666665</v>
      </c>
      <c r="AA9" s="2"/>
      <c r="AB9" s="26"/>
      <c r="AC9" s="3"/>
      <c r="AD9" s="26"/>
      <c r="AE9" s="1"/>
      <c r="AF9" s="22" t="e">
        <f t="shared" ref="AF9:AF38" si="1">AVERAGE(AA9:AE9)/3.33</f>
        <v>#DIV/0!</v>
      </c>
      <c r="AG9" s="1"/>
      <c r="AH9" s="1"/>
      <c r="AI9" s="22" t="e">
        <f t="shared" ref="AI9:AI37" si="2">AVERAGE(AG9:AH9)/5</f>
        <v>#DIV/0!</v>
      </c>
      <c r="AJ9" s="23" t="e">
        <f t="shared" ref="AJ9:AJ38" si="3">SUM(AI9,AF9,Z9)</f>
        <v>#DIV/0!</v>
      </c>
      <c r="AK9" s="4"/>
      <c r="AL9" s="2"/>
    </row>
    <row r="10" spans="1:38" ht="15" customHeight="1">
      <c r="A10" s="13">
        <v>3</v>
      </c>
      <c r="B10" s="40">
        <v>1701576248</v>
      </c>
      <c r="C10" s="33" t="s">
        <v>164</v>
      </c>
      <c r="D10" s="25">
        <v>10</v>
      </c>
      <c r="E10" s="25">
        <v>10</v>
      </c>
      <c r="F10" s="26">
        <v>10</v>
      </c>
      <c r="G10" s="2">
        <v>10</v>
      </c>
      <c r="H10" s="3">
        <v>10</v>
      </c>
      <c r="I10" s="44">
        <v>10</v>
      </c>
      <c r="J10" s="25">
        <v>10</v>
      </c>
      <c r="K10" s="3">
        <v>10</v>
      </c>
      <c r="L10" s="1">
        <v>10</v>
      </c>
      <c r="M10" s="2"/>
      <c r="N10" s="3"/>
      <c r="O10" s="44"/>
      <c r="P10" s="25"/>
      <c r="Q10" s="3"/>
      <c r="R10" s="44"/>
      <c r="S10" s="2"/>
      <c r="T10" s="3"/>
      <c r="U10" s="44"/>
      <c r="V10" s="25"/>
      <c r="W10" s="3"/>
      <c r="X10" s="44"/>
      <c r="Y10" s="25"/>
      <c r="Z10" s="43">
        <f t="shared" si="0"/>
        <v>5</v>
      </c>
      <c r="AA10" s="2"/>
      <c r="AB10" s="26"/>
      <c r="AC10" s="3"/>
      <c r="AD10" s="26"/>
      <c r="AE10" s="1"/>
      <c r="AF10" s="22" t="e">
        <f t="shared" si="1"/>
        <v>#DIV/0!</v>
      </c>
      <c r="AG10" s="1"/>
      <c r="AH10" s="1"/>
      <c r="AI10" s="22" t="e">
        <f t="shared" si="2"/>
        <v>#DIV/0!</v>
      </c>
      <c r="AJ10" s="23" t="e">
        <f t="shared" si="3"/>
        <v>#DIV/0!</v>
      </c>
      <c r="AK10" s="4"/>
      <c r="AL10" s="2"/>
    </row>
    <row r="11" spans="1:38" ht="15" customHeight="1">
      <c r="A11" s="13">
        <v>4</v>
      </c>
      <c r="B11" s="40">
        <v>1727850</v>
      </c>
      <c r="C11" s="33" t="s">
        <v>165</v>
      </c>
      <c r="D11" s="25">
        <v>10</v>
      </c>
      <c r="E11" s="25">
        <v>10</v>
      </c>
      <c r="F11" s="26">
        <v>10</v>
      </c>
      <c r="G11" s="2">
        <v>5</v>
      </c>
      <c r="H11" s="3">
        <v>0</v>
      </c>
      <c r="I11" s="44">
        <v>10</v>
      </c>
      <c r="J11" s="25">
        <v>10</v>
      </c>
      <c r="K11" s="3">
        <v>10</v>
      </c>
      <c r="L11" s="1"/>
      <c r="M11" s="2"/>
      <c r="N11" s="3"/>
      <c r="O11" s="44"/>
      <c r="P11" s="25"/>
      <c r="Q11" s="3"/>
      <c r="R11" s="44"/>
      <c r="S11" s="2"/>
      <c r="T11" s="3"/>
      <c r="U11" s="44"/>
      <c r="V11" s="25"/>
      <c r="W11" s="3"/>
      <c r="X11" s="44"/>
      <c r="Y11" s="25"/>
      <c r="Z11" s="43">
        <f t="shared" si="0"/>
        <v>4.0625</v>
      </c>
      <c r="AA11" s="2"/>
      <c r="AB11" s="26"/>
      <c r="AC11" s="3"/>
      <c r="AD11" s="26"/>
      <c r="AE11" s="1"/>
      <c r="AF11" s="22" t="e">
        <f t="shared" si="1"/>
        <v>#DIV/0!</v>
      </c>
      <c r="AG11" s="1"/>
      <c r="AH11" s="1"/>
      <c r="AI11" s="22" t="e">
        <f t="shared" si="2"/>
        <v>#DIV/0!</v>
      </c>
      <c r="AJ11" s="23" t="e">
        <f t="shared" si="3"/>
        <v>#DIV/0!</v>
      </c>
      <c r="AK11" s="4"/>
      <c r="AL11" s="2"/>
    </row>
    <row r="12" spans="1:38" ht="15" customHeight="1">
      <c r="A12" s="13">
        <v>5</v>
      </c>
      <c r="B12" s="40">
        <v>1727777</v>
      </c>
      <c r="C12" s="33" t="s">
        <v>166</v>
      </c>
      <c r="D12" s="25">
        <v>10</v>
      </c>
      <c r="E12" s="25">
        <v>10</v>
      </c>
      <c r="F12" s="26" t="s">
        <v>31</v>
      </c>
      <c r="G12" s="2">
        <v>10</v>
      </c>
      <c r="H12" s="3">
        <v>10</v>
      </c>
      <c r="I12" s="44">
        <v>10</v>
      </c>
      <c r="J12" s="25">
        <v>10</v>
      </c>
      <c r="K12" s="3">
        <v>10</v>
      </c>
      <c r="L12" s="1"/>
      <c r="M12" s="2"/>
      <c r="N12" s="3"/>
      <c r="O12" s="44"/>
      <c r="P12" s="25"/>
      <c r="Q12" s="3"/>
      <c r="R12" s="44"/>
      <c r="S12" s="2"/>
      <c r="T12" s="3"/>
      <c r="U12" s="44"/>
      <c r="V12" s="25"/>
      <c r="W12" s="3"/>
      <c r="X12" s="44"/>
      <c r="Y12" s="25"/>
      <c r="Z12" s="43">
        <f t="shared" si="0"/>
        <v>5</v>
      </c>
      <c r="AA12" s="2"/>
      <c r="AB12" s="26"/>
      <c r="AC12" s="3"/>
      <c r="AD12" s="26"/>
      <c r="AE12" s="1"/>
      <c r="AF12" s="22" t="e">
        <f t="shared" si="1"/>
        <v>#DIV/0!</v>
      </c>
      <c r="AG12" s="1"/>
      <c r="AH12" s="1"/>
      <c r="AI12" s="22" t="e">
        <f t="shared" si="2"/>
        <v>#DIV/0!</v>
      </c>
      <c r="AJ12" s="23" t="e">
        <f t="shared" si="3"/>
        <v>#DIV/0!</v>
      </c>
      <c r="AK12" s="4"/>
      <c r="AL12" s="2"/>
    </row>
    <row r="13" spans="1:38" ht="15" customHeight="1">
      <c r="A13" s="13">
        <v>6</v>
      </c>
      <c r="B13" s="40">
        <v>1727487</v>
      </c>
      <c r="C13" s="33" t="s">
        <v>167</v>
      </c>
      <c r="D13" s="25">
        <v>10</v>
      </c>
      <c r="E13" s="25">
        <v>10</v>
      </c>
      <c r="F13" s="26">
        <v>10</v>
      </c>
      <c r="G13" s="2">
        <v>10</v>
      </c>
      <c r="H13" s="3">
        <v>10</v>
      </c>
      <c r="I13" s="44">
        <v>10</v>
      </c>
      <c r="J13" s="25">
        <v>10</v>
      </c>
      <c r="K13" s="3">
        <v>10</v>
      </c>
      <c r="L13" s="1">
        <v>10</v>
      </c>
      <c r="M13" s="2"/>
      <c r="N13" s="3"/>
      <c r="O13" s="44"/>
      <c r="P13" s="25"/>
      <c r="Q13" s="3"/>
      <c r="R13" s="44"/>
      <c r="S13" s="2"/>
      <c r="T13" s="3"/>
      <c r="U13" s="44"/>
      <c r="V13" s="25"/>
      <c r="W13" s="3"/>
      <c r="X13" s="44"/>
      <c r="Y13" s="25"/>
      <c r="Z13" s="43">
        <f t="shared" si="0"/>
        <v>5</v>
      </c>
      <c r="AA13" s="2"/>
      <c r="AB13" s="26"/>
      <c r="AC13" s="3"/>
      <c r="AD13" s="26"/>
      <c r="AE13" s="1"/>
      <c r="AF13" s="22" t="e">
        <f t="shared" si="1"/>
        <v>#DIV/0!</v>
      </c>
      <c r="AG13" s="1"/>
      <c r="AH13" s="1"/>
      <c r="AI13" s="22" t="e">
        <f t="shared" si="2"/>
        <v>#DIV/0!</v>
      </c>
      <c r="AJ13" s="23" t="e">
        <f t="shared" si="3"/>
        <v>#DIV/0!</v>
      </c>
      <c r="AK13" s="4"/>
      <c r="AL13" s="2"/>
    </row>
    <row r="14" spans="1:38" ht="15" customHeight="1">
      <c r="A14" s="13">
        <v>7</v>
      </c>
      <c r="B14" s="40">
        <v>2101765080</v>
      </c>
      <c r="C14" s="33" t="s">
        <v>168</v>
      </c>
      <c r="D14" s="25">
        <v>10</v>
      </c>
      <c r="E14" s="25">
        <v>10</v>
      </c>
      <c r="F14" s="26">
        <v>10</v>
      </c>
      <c r="G14" s="2">
        <v>10</v>
      </c>
      <c r="H14" s="3">
        <v>10</v>
      </c>
      <c r="I14" s="44">
        <v>10</v>
      </c>
      <c r="J14" s="25">
        <v>10</v>
      </c>
      <c r="K14" s="3">
        <v>10</v>
      </c>
      <c r="L14" s="1"/>
      <c r="M14" s="2"/>
      <c r="N14" s="3"/>
      <c r="O14" s="44"/>
      <c r="P14" s="25"/>
      <c r="Q14" s="3"/>
      <c r="R14" s="44"/>
      <c r="S14" s="2"/>
      <c r="T14" s="3"/>
      <c r="U14" s="44"/>
      <c r="V14" s="25"/>
      <c r="W14" s="3"/>
      <c r="X14" s="44"/>
      <c r="Y14" s="25"/>
      <c r="Z14" s="43">
        <f t="shared" si="0"/>
        <v>5</v>
      </c>
      <c r="AA14" s="2"/>
      <c r="AB14" s="26"/>
      <c r="AC14" s="3"/>
      <c r="AD14" s="26"/>
      <c r="AE14" s="1"/>
      <c r="AF14" s="22" t="e">
        <f t="shared" si="1"/>
        <v>#DIV/0!</v>
      </c>
      <c r="AG14" s="1"/>
      <c r="AH14" s="1"/>
      <c r="AI14" s="22" t="e">
        <f t="shared" si="2"/>
        <v>#DIV/0!</v>
      </c>
      <c r="AJ14" s="23" t="e">
        <f t="shared" si="3"/>
        <v>#DIV/0!</v>
      </c>
      <c r="AK14" s="4"/>
      <c r="AL14" s="2"/>
    </row>
    <row r="15" spans="1:38" ht="15" customHeight="1">
      <c r="A15" s="13">
        <v>8</v>
      </c>
      <c r="B15" s="40">
        <v>1727685</v>
      </c>
      <c r="C15" s="33" t="s">
        <v>169</v>
      </c>
      <c r="D15" s="25">
        <v>10</v>
      </c>
      <c r="E15" s="25">
        <v>10</v>
      </c>
      <c r="F15" s="26">
        <v>10</v>
      </c>
      <c r="G15" s="2">
        <v>10</v>
      </c>
      <c r="H15" s="3">
        <v>10</v>
      </c>
      <c r="I15" s="44">
        <v>10</v>
      </c>
      <c r="J15" s="25">
        <v>10</v>
      </c>
      <c r="K15" s="3">
        <v>10</v>
      </c>
      <c r="L15" s="1"/>
      <c r="M15" s="2"/>
      <c r="N15" s="3"/>
      <c r="O15" s="44"/>
      <c r="P15" s="25"/>
      <c r="Q15" s="3"/>
      <c r="R15" s="44"/>
      <c r="S15" s="2"/>
      <c r="T15" s="3"/>
      <c r="U15" s="44"/>
      <c r="V15" s="25"/>
      <c r="W15" s="3"/>
      <c r="X15" s="44"/>
      <c r="Y15" s="25"/>
      <c r="Z15" s="43">
        <f t="shared" si="0"/>
        <v>5</v>
      </c>
      <c r="AA15" s="2"/>
      <c r="AB15" s="26"/>
      <c r="AC15" s="3"/>
      <c r="AD15" s="26"/>
      <c r="AE15" s="1"/>
      <c r="AF15" s="22" t="e">
        <f t="shared" si="1"/>
        <v>#DIV/0!</v>
      </c>
      <c r="AG15" s="1"/>
      <c r="AH15" s="1"/>
      <c r="AI15" s="22" t="e">
        <f t="shared" si="2"/>
        <v>#DIV/0!</v>
      </c>
      <c r="AJ15" s="23" t="e">
        <f t="shared" si="3"/>
        <v>#DIV/0!</v>
      </c>
      <c r="AK15" s="4"/>
      <c r="AL15" s="2"/>
    </row>
    <row r="16" spans="1:38" ht="15" customHeight="1">
      <c r="A16" s="13">
        <v>9</v>
      </c>
      <c r="B16" s="40">
        <v>1727398</v>
      </c>
      <c r="C16" s="33" t="s">
        <v>170</v>
      </c>
      <c r="D16" s="25">
        <v>10</v>
      </c>
      <c r="E16" s="25">
        <v>10</v>
      </c>
      <c r="F16" s="26">
        <v>5</v>
      </c>
      <c r="G16" s="2">
        <v>10</v>
      </c>
      <c r="H16" s="3">
        <v>10</v>
      </c>
      <c r="I16" s="44">
        <v>10</v>
      </c>
      <c r="J16" s="25">
        <v>10</v>
      </c>
      <c r="K16" s="3">
        <v>10</v>
      </c>
      <c r="L16" s="1"/>
      <c r="M16" s="2"/>
      <c r="N16" s="3"/>
      <c r="O16" s="44"/>
      <c r="P16" s="25"/>
      <c r="Q16" s="3"/>
      <c r="R16" s="44"/>
      <c r="S16" s="2"/>
      <c r="T16" s="3"/>
      <c r="U16" s="44"/>
      <c r="V16" s="25"/>
      <c r="W16" s="3"/>
      <c r="X16" s="44"/>
      <c r="Y16" s="25"/>
      <c r="Z16" s="43">
        <f t="shared" si="0"/>
        <v>4.6875</v>
      </c>
      <c r="AA16" s="2"/>
      <c r="AB16" s="26"/>
      <c r="AC16" s="3"/>
      <c r="AD16" s="26"/>
      <c r="AE16" s="1"/>
      <c r="AF16" s="22" t="e">
        <f t="shared" si="1"/>
        <v>#DIV/0!</v>
      </c>
      <c r="AG16" s="1"/>
      <c r="AH16" s="1"/>
      <c r="AI16" s="22" t="e">
        <f t="shared" si="2"/>
        <v>#DIV/0!</v>
      </c>
      <c r="AJ16" s="23" t="e">
        <f t="shared" si="3"/>
        <v>#DIV/0!</v>
      </c>
      <c r="AK16" s="4"/>
      <c r="AL16" s="2"/>
    </row>
    <row r="17" spans="1:38" ht="15" customHeight="1">
      <c r="A17" s="13">
        <v>10</v>
      </c>
      <c r="B17" s="40">
        <v>2601914287</v>
      </c>
      <c r="C17" s="33" t="s">
        <v>171</v>
      </c>
      <c r="D17" s="25">
        <v>10</v>
      </c>
      <c r="E17" s="25">
        <v>10</v>
      </c>
      <c r="F17" s="26">
        <v>10</v>
      </c>
      <c r="G17" s="2">
        <v>5</v>
      </c>
      <c r="H17" s="3">
        <v>0</v>
      </c>
      <c r="I17" s="44">
        <v>10</v>
      </c>
      <c r="J17" s="25">
        <v>0</v>
      </c>
      <c r="K17" s="3">
        <v>0</v>
      </c>
      <c r="L17" s="1">
        <v>10</v>
      </c>
      <c r="M17" s="2"/>
      <c r="N17" s="3"/>
      <c r="O17" s="44"/>
      <c r="P17" s="25"/>
      <c r="Q17" s="3"/>
      <c r="R17" s="44"/>
      <c r="S17" s="2"/>
      <c r="T17" s="3"/>
      <c r="U17" s="44"/>
      <c r="V17" s="25"/>
      <c r="W17" s="3"/>
      <c r="X17" s="44"/>
      <c r="Y17" s="25"/>
      <c r="Z17" s="43">
        <f t="shared" si="0"/>
        <v>3.0555555555555554</v>
      </c>
      <c r="AA17" s="2"/>
      <c r="AB17" s="26"/>
      <c r="AC17" s="3"/>
      <c r="AD17" s="26"/>
      <c r="AE17" s="1"/>
      <c r="AF17" s="22" t="e">
        <f t="shared" si="1"/>
        <v>#DIV/0!</v>
      </c>
      <c r="AG17" s="1"/>
      <c r="AH17" s="1"/>
      <c r="AI17" s="22" t="e">
        <f t="shared" si="2"/>
        <v>#DIV/0!</v>
      </c>
      <c r="AJ17" s="23" t="e">
        <f t="shared" si="3"/>
        <v>#DIV/0!</v>
      </c>
      <c r="AK17" s="4"/>
      <c r="AL17" s="2"/>
    </row>
    <row r="18" spans="1:38" ht="15" customHeight="1">
      <c r="A18" s="13">
        <v>11</v>
      </c>
      <c r="B18" s="40">
        <v>1727471</v>
      </c>
      <c r="C18" s="33" t="s">
        <v>172</v>
      </c>
      <c r="D18" s="25">
        <v>10</v>
      </c>
      <c r="E18" s="25">
        <v>10</v>
      </c>
      <c r="F18" s="26">
        <v>10</v>
      </c>
      <c r="G18" s="2">
        <v>5</v>
      </c>
      <c r="H18" s="3">
        <v>0</v>
      </c>
      <c r="I18" s="44">
        <v>10</v>
      </c>
      <c r="J18" s="25">
        <v>10</v>
      </c>
      <c r="K18" s="3">
        <v>10</v>
      </c>
      <c r="L18" s="1"/>
      <c r="M18" s="2"/>
      <c r="N18" s="3"/>
      <c r="O18" s="44"/>
      <c r="P18" s="25"/>
      <c r="Q18" s="3"/>
      <c r="R18" s="44"/>
      <c r="S18" s="2"/>
      <c r="T18" s="3"/>
      <c r="U18" s="44"/>
      <c r="V18" s="25"/>
      <c r="W18" s="3"/>
      <c r="X18" s="44"/>
      <c r="Y18" s="25"/>
      <c r="Z18" s="43">
        <f t="shared" si="0"/>
        <v>4.0625</v>
      </c>
      <c r="AA18" s="2"/>
      <c r="AB18" s="26"/>
      <c r="AC18" s="3"/>
      <c r="AD18" s="26"/>
      <c r="AE18" s="1"/>
      <c r="AF18" s="22" t="e">
        <f t="shared" si="1"/>
        <v>#DIV/0!</v>
      </c>
      <c r="AG18" s="1"/>
      <c r="AH18" s="1"/>
      <c r="AI18" s="22" t="e">
        <f t="shared" si="2"/>
        <v>#DIV/0!</v>
      </c>
      <c r="AJ18" s="23" t="e">
        <f t="shared" si="3"/>
        <v>#DIV/0!</v>
      </c>
      <c r="AK18" s="4"/>
      <c r="AL18" s="2"/>
    </row>
    <row r="19" spans="1:38" ht="15" customHeight="1">
      <c r="A19" s="13">
        <v>12</v>
      </c>
      <c r="B19" s="40">
        <v>1727522</v>
      </c>
      <c r="C19" s="33" t="s">
        <v>173</v>
      </c>
      <c r="D19" s="1">
        <v>10</v>
      </c>
      <c r="E19" s="1">
        <v>10</v>
      </c>
      <c r="F19" s="1">
        <v>10</v>
      </c>
      <c r="G19" s="45">
        <v>0</v>
      </c>
      <c r="H19" s="1">
        <v>0</v>
      </c>
      <c r="I19" s="44">
        <v>10</v>
      </c>
      <c r="J19" s="26">
        <v>0</v>
      </c>
      <c r="K19" s="1">
        <v>10</v>
      </c>
      <c r="L19" s="1"/>
      <c r="M19" s="45"/>
      <c r="N19" s="1"/>
      <c r="O19" s="44"/>
      <c r="P19" s="26"/>
      <c r="Q19" s="1"/>
      <c r="R19" s="44"/>
      <c r="S19" s="45"/>
      <c r="T19" s="1"/>
      <c r="U19" s="44"/>
      <c r="V19" s="26"/>
      <c r="W19" s="1"/>
      <c r="X19" s="44"/>
      <c r="Y19" s="26"/>
      <c r="Z19" s="43">
        <f t="shared" si="0"/>
        <v>3.125</v>
      </c>
      <c r="AA19" s="2"/>
      <c r="AB19" s="26"/>
      <c r="AC19" s="3"/>
      <c r="AD19" s="26"/>
      <c r="AE19" s="1"/>
      <c r="AF19" s="22" t="e">
        <f t="shared" si="1"/>
        <v>#DIV/0!</v>
      </c>
      <c r="AG19" s="1"/>
      <c r="AH19" s="1"/>
      <c r="AI19" s="22" t="e">
        <f t="shared" si="2"/>
        <v>#DIV/0!</v>
      </c>
      <c r="AJ19" s="23" t="e">
        <f t="shared" si="3"/>
        <v>#DIV/0!</v>
      </c>
      <c r="AK19" s="4"/>
      <c r="AL19" s="2"/>
    </row>
    <row r="20" spans="1:38" ht="15" customHeight="1">
      <c r="A20" s="13">
        <v>13</v>
      </c>
      <c r="B20" s="40">
        <v>1601546596</v>
      </c>
      <c r="C20" s="33" t="s">
        <v>174</v>
      </c>
      <c r="D20" s="25">
        <v>10</v>
      </c>
      <c r="E20" s="25">
        <v>10</v>
      </c>
      <c r="F20" s="26">
        <v>10</v>
      </c>
      <c r="G20" s="2">
        <v>5</v>
      </c>
      <c r="H20" s="3">
        <v>10</v>
      </c>
      <c r="I20" s="44">
        <v>10</v>
      </c>
      <c r="J20" s="25">
        <v>10</v>
      </c>
      <c r="K20" s="3">
        <v>10</v>
      </c>
      <c r="L20" s="1">
        <v>10</v>
      </c>
      <c r="M20" s="2"/>
      <c r="N20" s="3"/>
      <c r="O20" s="44"/>
      <c r="P20" s="25"/>
      <c r="Q20" s="3"/>
      <c r="R20" s="44"/>
      <c r="S20" s="2"/>
      <c r="T20" s="3"/>
      <c r="U20" s="44"/>
      <c r="V20" s="25"/>
      <c r="W20" s="3"/>
      <c r="X20" s="44"/>
      <c r="Y20" s="25"/>
      <c r="Z20" s="43">
        <f t="shared" si="0"/>
        <v>4.7222222222222223</v>
      </c>
      <c r="AA20" s="2"/>
      <c r="AB20" s="26"/>
      <c r="AC20" s="3"/>
      <c r="AD20" s="26"/>
      <c r="AE20" s="1"/>
      <c r="AF20" s="22" t="e">
        <f t="shared" si="1"/>
        <v>#DIV/0!</v>
      </c>
      <c r="AG20" s="1"/>
      <c r="AH20" s="1"/>
      <c r="AI20" s="22" t="e">
        <f t="shared" si="2"/>
        <v>#DIV/0!</v>
      </c>
      <c r="AJ20" s="23" t="e">
        <f t="shared" si="3"/>
        <v>#DIV/0!</v>
      </c>
      <c r="AK20" s="4"/>
      <c r="AL20" s="2"/>
    </row>
    <row r="21" spans="1:38" ht="15" customHeight="1">
      <c r="A21" s="13">
        <v>14</v>
      </c>
      <c r="B21" s="40">
        <v>1727671</v>
      </c>
      <c r="C21" s="33" t="s">
        <v>175</v>
      </c>
      <c r="D21" s="25">
        <v>10</v>
      </c>
      <c r="E21" s="25">
        <v>10</v>
      </c>
      <c r="F21" s="26">
        <v>10</v>
      </c>
      <c r="G21" s="2">
        <v>10</v>
      </c>
      <c r="H21" s="3">
        <v>10</v>
      </c>
      <c r="I21" s="44">
        <v>10</v>
      </c>
      <c r="J21" s="25">
        <v>10</v>
      </c>
      <c r="K21" s="3">
        <v>10</v>
      </c>
      <c r="L21" s="1"/>
      <c r="M21" s="2"/>
      <c r="N21" s="3"/>
      <c r="O21" s="44"/>
      <c r="P21" s="25"/>
      <c r="Q21" s="3"/>
      <c r="R21" s="44"/>
      <c r="S21" s="2"/>
      <c r="T21" s="3"/>
      <c r="U21" s="44"/>
      <c r="V21" s="25"/>
      <c r="W21" s="3"/>
      <c r="X21" s="44"/>
      <c r="Y21" s="25"/>
      <c r="Z21" s="43">
        <f t="shared" si="0"/>
        <v>5</v>
      </c>
      <c r="AA21" s="2"/>
      <c r="AB21" s="26"/>
      <c r="AC21" s="3"/>
      <c r="AD21" s="26"/>
      <c r="AE21" s="1"/>
      <c r="AF21" s="22" t="e">
        <f t="shared" si="1"/>
        <v>#DIV/0!</v>
      </c>
      <c r="AG21" s="1"/>
      <c r="AH21" s="1"/>
      <c r="AI21" s="22" t="e">
        <f t="shared" si="2"/>
        <v>#DIV/0!</v>
      </c>
      <c r="AJ21" s="23" t="e">
        <f t="shared" si="3"/>
        <v>#DIV/0!</v>
      </c>
      <c r="AK21" s="4"/>
      <c r="AL21" s="2"/>
    </row>
    <row r="22" spans="1:38" ht="15" customHeight="1">
      <c r="A22" s="13">
        <v>15</v>
      </c>
      <c r="B22" s="40">
        <v>1727530</v>
      </c>
      <c r="C22" s="33" t="s">
        <v>176</v>
      </c>
      <c r="D22" s="25">
        <v>10</v>
      </c>
      <c r="E22" s="25">
        <v>10</v>
      </c>
      <c r="F22" s="26">
        <v>10</v>
      </c>
      <c r="G22" s="2">
        <v>10</v>
      </c>
      <c r="H22" s="3">
        <v>10</v>
      </c>
      <c r="I22" s="44">
        <v>10</v>
      </c>
      <c r="J22" s="25">
        <v>10</v>
      </c>
      <c r="K22" s="3">
        <v>10</v>
      </c>
      <c r="L22" s="1"/>
      <c r="M22" s="2"/>
      <c r="N22" s="3"/>
      <c r="O22" s="44"/>
      <c r="P22" s="25"/>
      <c r="Q22" s="3"/>
      <c r="R22" s="44"/>
      <c r="S22" s="2"/>
      <c r="T22" s="3"/>
      <c r="U22" s="44"/>
      <c r="V22" s="25"/>
      <c r="W22" s="3"/>
      <c r="X22" s="44"/>
      <c r="Y22" s="25"/>
      <c r="Z22" s="43">
        <f t="shared" si="0"/>
        <v>5</v>
      </c>
      <c r="AA22" s="2"/>
      <c r="AB22" s="26"/>
      <c r="AC22" s="3"/>
      <c r="AD22" s="26"/>
      <c r="AE22" s="1"/>
      <c r="AF22" s="22" t="e">
        <f t="shared" si="1"/>
        <v>#DIV/0!</v>
      </c>
      <c r="AG22" s="1"/>
      <c r="AH22" s="1"/>
      <c r="AI22" s="22" t="e">
        <f t="shared" si="2"/>
        <v>#DIV/0!</v>
      </c>
      <c r="AJ22" s="23" t="e">
        <f t="shared" si="3"/>
        <v>#DIV/0!</v>
      </c>
      <c r="AK22" s="4"/>
      <c r="AL22" s="2"/>
    </row>
    <row r="23" spans="1:38" ht="15" customHeight="1">
      <c r="A23" s="13">
        <v>16</v>
      </c>
      <c r="B23" s="40">
        <v>1727472</v>
      </c>
      <c r="C23" s="33" t="s">
        <v>177</v>
      </c>
      <c r="D23" s="25">
        <v>10</v>
      </c>
      <c r="E23" s="25">
        <v>10</v>
      </c>
      <c r="F23" s="26">
        <v>10</v>
      </c>
      <c r="G23" s="2">
        <v>10</v>
      </c>
      <c r="H23" s="3">
        <v>10</v>
      </c>
      <c r="I23" s="44">
        <v>10</v>
      </c>
      <c r="J23" s="25">
        <v>10</v>
      </c>
      <c r="K23" s="3">
        <v>10</v>
      </c>
      <c r="L23" s="1">
        <v>0</v>
      </c>
      <c r="M23" s="2"/>
      <c r="N23" s="3"/>
      <c r="O23" s="44"/>
      <c r="P23" s="25"/>
      <c r="Q23" s="3"/>
      <c r="R23" s="44"/>
      <c r="S23" s="2"/>
      <c r="T23" s="3"/>
      <c r="U23" s="44"/>
      <c r="V23" s="25"/>
      <c r="W23" s="3"/>
      <c r="X23" s="44"/>
      <c r="Y23" s="25"/>
      <c r="Z23" s="43">
        <f t="shared" si="0"/>
        <v>4.4444444444444446</v>
      </c>
      <c r="AA23" s="2"/>
      <c r="AB23" s="26"/>
      <c r="AC23" s="3"/>
      <c r="AD23" s="26"/>
      <c r="AE23" s="1"/>
      <c r="AF23" s="22" t="e">
        <f t="shared" si="1"/>
        <v>#DIV/0!</v>
      </c>
      <c r="AG23" s="1"/>
      <c r="AH23" s="1"/>
      <c r="AI23" s="22" t="e">
        <f t="shared" si="2"/>
        <v>#DIV/0!</v>
      </c>
      <c r="AJ23" s="23" t="e">
        <f t="shared" si="3"/>
        <v>#DIV/0!</v>
      </c>
      <c r="AK23" s="4"/>
      <c r="AL23" s="2"/>
    </row>
    <row r="24" spans="1:38" ht="15" customHeight="1">
      <c r="A24" s="13">
        <v>17</v>
      </c>
      <c r="B24" s="40">
        <v>1727956</v>
      </c>
      <c r="C24" s="33" t="s">
        <v>178</v>
      </c>
      <c r="D24" s="25" t="s">
        <v>31</v>
      </c>
      <c r="E24" s="25" t="s">
        <v>31</v>
      </c>
      <c r="F24" s="26" t="s">
        <v>31</v>
      </c>
      <c r="G24" s="2" t="s">
        <v>31</v>
      </c>
      <c r="H24" s="3" t="s">
        <v>31</v>
      </c>
      <c r="I24" s="44" t="s">
        <v>31</v>
      </c>
      <c r="J24" s="25" t="s">
        <v>31</v>
      </c>
      <c r="K24" s="3" t="s">
        <v>31</v>
      </c>
      <c r="L24" s="1" t="s">
        <v>31</v>
      </c>
      <c r="M24" s="2"/>
      <c r="N24" s="3"/>
      <c r="O24" s="44"/>
      <c r="P24" s="25"/>
      <c r="Q24" s="3"/>
      <c r="R24" s="44"/>
      <c r="S24" s="2"/>
      <c r="T24" s="3"/>
      <c r="U24" s="44"/>
      <c r="V24" s="25"/>
      <c r="W24" s="3"/>
      <c r="X24" s="44"/>
      <c r="Y24" s="25"/>
      <c r="Z24" s="43" t="e">
        <f t="shared" si="0"/>
        <v>#DIV/0!</v>
      </c>
      <c r="AA24" s="2"/>
      <c r="AB24" s="26"/>
      <c r="AC24" s="3"/>
      <c r="AD24" s="26"/>
      <c r="AE24" s="1"/>
      <c r="AF24" s="22" t="e">
        <f t="shared" si="1"/>
        <v>#DIV/0!</v>
      </c>
      <c r="AG24" s="1"/>
      <c r="AH24" s="1"/>
      <c r="AI24" s="22" t="e">
        <f t="shared" si="2"/>
        <v>#DIV/0!</v>
      </c>
      <c r="AJ24" s="23" t="e">
        <f t="shared" si="3"/>
        <v>#DIV/0!</v>
      </c>
      <c r="AK24" s="4"/>
      <c r="AL24" s="2"/>
    </row>
    <row r="25" spans="1:38" ht="15" customHeight="1">
      <c r="A25" s="13">
        <v>18</v>
      </c>
      <c r="B25" s="40">
        <v>1901655766</v>
      </c>
      <c r="C25" s="33" t="s">
        <v>179</v>
      </c>
      <c r="D25" s="25">
        <v>10</v>
      </c>
      <c r="E25" s="25">
        <v>10</v>
      </c>
      <c r="F25" s="26">
        <v>10</v>
      </c>
      <c r="G25" s="2">
        <v>5</v>
      </c>
      <c r="H25" s="3">
        <v>10</v>
      </c>
      <c r="I25" s="44">
        <v>10</v>
      </c>
      <c r="J25" s="25">
        <v>10</v>
      </c>
      <c r="K25" s="3">
        <v>10</v>
      </c>
      <c r="L25" s="1">
        <v>10</v>
      </c>
      <c r="M25" s="2"/>
      <c r="N25" s="3"/>
      <c r="O25" s="44"/>
      <c r="P25" s="25"/>
      <c r="Q25" s="3"/>
      <c r="R25" s="44"/>
      <c r="S25" s="2"/>
      <c r="T25" s="3"/>
      <c r="U25" s="44"/>
      <c r="V25" s="25"/>
      <c r="W25" s="3"/>
      <c r="X25" s="44"/>
      <c r="Y25" s="25"/>
      <c r="Z25" s="43">
        <f t="shared" si="0"/>
        <v>4.7222222222222223</v>
      </c>
      <c r="AA25" s="2"/>
      <c r="AB25" s="26"/>
      <c r="AC25" s="3"/>
      <c r="AD25" s="26"/>
      <c r="AE25" s="1"/>
      <c r="AF25" s="22" t="e">
        <f t="shared" si="1"/>
        <v>#DIV/0!</v>
      </c>
      <c r="AG25" s="1"/>
      <c r="AH25" s="1"/>
      <c r="AI25" s="22" t="e">
        <f t="shared" si="2"/>
        <v>#DIV/0!</v>
      </c>
      <c r="AJ25" s="23" t="e">
        <f t="shared" si="3"/>
        <v>#DIV/0!</v>
      </c>
      <c r="AK25" s="4"/>
      <c r="AL25" s="2"/>
    </row>
    <row r="26" spans="1:38" ht="15" customHeight="1">
      <c r="A26" s="13">
        <v>19</v>
      </c>
      <c r="B26" s="40">
        <v>2601919608</v>
      </c>
      <c r="C26" s="33" t="s">
        <v>180</v>
      </c>
      <c r="D26" s="25">
        <v>10</v>
      </c>
      <c r="E26" s="25">
        <v>10</v>
      </c>
      <c r="F26" s="26">
        <v>10</v>
      </c>
      <c r="G26" s="2">
        <v>5</v>
      </c>
      <c r="H26" s="3">
        <v>10</v>
      </c>
      <c r="I26" s="44">
        <v>10</v>
      </c>
      <c r="J26" s="25">
        <v>10</v>
      </c>
      <c r="K26" s="3">
        <v>10</v>
      </c>
      <c r="L26" s="1">
        <v>10</v>
      </c>
      <c r="M26" s="2"/>
      <c r="N26" s="3"/>
      <c r="O26" s="44"/>
      <c r="P26" s="25"/>
      <c r="Q26" s="3"/>
      <c r="R26" s="44"/>
      <c r="S26" s="2"/>
      <c r="T26" s="3"/>
      <c r="U26" s="44"/>
      <c r="V26" s="25"/>
      <c r="W26" s="3"/>
      <c r="X26" s="44"/>
      <c r="Y26" s="25"/>
      <c r="Z26" s="43">
        <f t="shared" si="0"/>
        <v>4.7222222222222223</v>
      </c>
      <c r="AA26" s="2"/>
      <c r="AB26" s="26"/>
      <c r="AC26" s="3"/>
      <c r="AD26" s="26"/>
      <c r="AE26" s="1"/>
      <c r="AF26" s="22" t="e">
        <f t="shared" si="1"/>
        <v>#DIV/0!</v>
      </c>
      <c r="AG26" s="1"/>
      <c r="AH26" s="1"/>
      <c r="AI26" s="22" t="e">
        <f t="shared" si="2"/>
        <v>#DIV/0!</v>
      </c>
      <c r="AJ26" s="23" t="e">
        <f t="shared" si="3"/>
        <v>#DIV/0!</v>
      </c>
      <c r="AK26" s="4"/>
      <c r="AL26" s="2"/>
    </row>
    <row r="27" spans="1:38" ht="15" customHeight="1">
      <c r="A27" s="13">
        <v>20</v>
      </c>
      <c r="B27" s="40">
        <v>1727434</v>
      </c>
      <c r="C27" s="33" t="s">
        <v>181</v>
      </c>
      <c r="D27" s="25">
        <v>10</v>
      </c>
      <c r="E27" s="25">
        <v>10</v>
      </c>
      <c r="F27" s="26">
        <v>10</v>
      </c>
      <c r="G27" s="2">
        <v>10</v>
      </c>
      <c r="H27" s="3">
        <v>10</v>
      </c>
      <c r="I27" s="44">
        <v>10</v>
      </c>
      <c r="J27" s="25">
        <v>10</v>
      </c>
      <c r="K27" s="3">
        <v>10</v>
      </c>
      <c r="L27" s="1"/>
      <c r="M27" s="2"/>
      <c r="N27" s="3"/>
      <c r="O27" s="44"/>
      <c r="P27" s="25"/>
      <c r="Q27" s="3"/>
      <c r="R27" s="44"/>
      <c r="S27" s="2"/>
      <c r="T27" s="3"/>
      <c r="U27" s="44"/>
      <c r="V27" s="25"/>
      <c r="W27" s="3"/>
      <c r="X27" s="44"/>
      <c r="Y27" s="25"/>
      <c r="Z27" s="43">
        <f t="shared" si="0"/>
        <v>5</v>
      </c>
      <c r="AA27" s="2"/>
      <c r="AB27" s="26"/>
      <c r="AC27" s="3"/>
      <c r="AD27" s="26"/>
      <c r="AE27" s="1"/>
      <c r="AF27" s="22" t="e">
        <f t="shared" si="1"/>
        <v>#DIV/0!</v>
      </c>
      <c r="AG27" s="1"/>
      <c r="AH27" s="1"/>
      <c r="AI27" s="22" t="e">
        <f t="shared" si="2"/>
        <v>#DIV/0!</v>
      </c>
      <c r="AJ27" s="23" t="e">
        <f t="shared" si="3"/>
        <v>#DIV/0!</v>
      </c>
      <c r="AK27" s="4"/>
      <c r="AL27" s="2"/>
    </row>
    <row r="28" spans="1:38" ht="15" customHeight="1">
      <c r="A28" s="13">
        <v>21</v>
      </c>
      <c r="B28" s="40">
        <v>1727657</v>
      </c>
      <c r="C28" s="33" t="s">
        <v>182</v>
      </c>
      <c r="D28" s="25">
        <v>10</v>
      </c>
      <c r="E28" s="25">
        <v>10</v>
      </c>
      <c r="F28" s="26">
        <v>10</v>
      </c>
      <c r="G28" s="2">
        <v>5</v>
      </c>
      <c r="H28" s="3">
        <v>10</v>
      </c>
      <c r="I28" s="44">
        <v>10</v>
      </c>
      <c r="J28" s="25">
        <v>10</v>
      </c>
      <c r="K28" s="3">
        <v>10</v>
      </c>
      <c r="L28" s="1"/>
      <c r="M28" s="2"/>
      <c r="N28" s="3"/>
      <c r="O28" s="44"/>
      <c r="P28" s="25"/>
      <c r="Q28" s="3"/>
      <c r="R28" s="44"/>
      <c r="S28" s="2"/>
      <c r="T28" s="3"/>
      <c r="U28" s="44"/>
      <c r="V28" s="25"/>
      <c r="W28" s="3"/>
      <c r="X28" s="44"/>
      <c r="Y28" s="25"/>
      <c r="Z28" s="43">
        <f t="shared" si="0"/>
        <v>4.6875</v>
      </c>
      <c r="AA28" s="2"/>
      <c r="AB28" s="26"/>
      <c r="AC28" s="3"/>
      <c r="AD28" s="26"/>
      <c r="AE28" s="1"/>
      <c r="AF28" s="22" t="e">
        <f t="shared" si="1"/>
        <v>#DIV/0!</v>
      </c>
      <c r="AG28" s="1"/>
      <c r="AH28" s="1"/>
      <c r="AI28" s="22" t="e">
        <f t="shared" si="2"/>
        <v>#DIV/0!</v>
      </c>
      <c r="AJ28" s="23" t="e">
        <f t="shared" si="3"/>
        <v>#DIV/0!</v>
      </c>
      <c r="AK28" s="4"/>
      <c r="AL28" s="2"/>
    </row>
    <row r="29" spans="1:38" ht="15" customHeight="1">
      <c r="A29" s="13">
        <v>22</v>
      </c>
      <c r="B29" s="40">
        <v>1601525416</v>
      </c>
      <c r="C29" s="33" t="s">
        <v>183</v>
      </c>
      <c r="D29" s="25">
        <v>10</v>
      </c>
      <c r="E29" s="25">
        <v>10</v>
      </c>
      <c r="F29" s="26">
        <v>10</v>
      </c>
      <c r="G29" s="2">
        <v>10</v>
      </c>
      <c r="H29" s="3">
        <v>10</v>
      </c>
      <c r="I29" s="44">
        <v>10</v>
      </c>
      <c r="J29" s="25">
        <v>10</v>
      </c>
      <c r="K29" s="3">
        <v>10</v>
      </c>
      <c r="L29" s="1">
        <v>10</v>
      </c>
      <c r="M29" s="2"/>
      <c r="N29" s="3"/>
      <c r="O29" s="44"/>
      <c r="P29" s="25"/>
      <c r="Q29" s="3"/>
      <c r="R29" s="44"/>
      <c r="S29" s="2"/>
      <c r="T29" s="3"/>
      <c r="U29" s="44"/>
      <c r="V29" s="25"/>
      <c r="W29" s="3"/>
      <c r="X29" s="44"/>
      <c r="Y29" s="25"/>
      <c r="Z29" s="43">
        <f t="shared" si="0"/>
        <v>5</v>
      </c>
      <c r="AA29" s="2"/>
      <c r="AB29" s="26"/>
      <c r="AC29" s="3"/>
      <c r="AD29" s="26"/>
      <c r="AE29" s="1"/>
      <c r="AF29" s="22" t="e">
        <f t="shared" si="1"/>
        <v>#DIV/0!</v>
      </c>
      <c r="AG29" s="1"/>
      <c r="AH29" s="1"/>
      <c r="AI29" s="22" t="e">
        <f t="shared" si="2"/>
        <v>#DIV/0!</v>
      </c>
      <c r="AJ29" s="23" t="e">
        <f t="shared" si="3"/>
        <v>#DIV/0!</v>
      </c>
      <c r="AK29" s="4"/>
      <c r="AL29" s="2"/>
    </row>
    <row r="30" spans="1:38" ht="15" customHeight="1">
      <c r="A30" s="13">
        <v>23</v>
      </c>
      <c r="B30" s="40">
        <v>1701582107</v>
      </c>
      <c r="C30" s="33" t="s">
        <v>184</v>
      </c>
      <c r="D30" s="25">
        <v>10</v>
      </c>
      <c r="E30" s="25">
        <v>10</v>
      </c>
      <c r="F30" s="26">
        <v>10</v>
      </c>
      <c r="G30" s="2">
        <v>10</v>
      </c>
      <c r="H30" s="3">
        <v>10</v>
      </c>
      <c r="I30" s="44">
        <v>10</v>
      </c>
      <c r="J30" s="25">
        <v>10</v>
      </c>
      <c r="K30" s="3">
        <v>10</v>
      </c>
      <c r="L30" s="1"/>
      <c r="M30" s="2"/>
      <c r="N30" s="3"/>
      <c r="O30" s="44"/>
      <c r="P30" s="25"/>
      <c r="Q30" s="3"/>
      <c r="R30" s="44"/>
      <c r="S30" s="2"/>
      <c r="T30" s="3"/>
      <c r="U30" s="44"/>
      <c r="V30" s="25"/>
      <c r="W30" s="3"/>
      <c r="X30" s="44"/>
      <c r="Y30" s="25"/>
      <c r="Z30" s="43">
        <f t="shared" si="0"/>
        <v>5</v>
      </c>
      <c r="AA30" s="2"/>
      <c r="AB30" s="26"/>
      <c r="AC30" s="3"/>
      <c r="AD30" s="26"/>
      <c r="AE30" s="1"/>
      <c r="AF30" s="22" t="e">
        <f t="shared" si="1"/>
        <v>#DIV/0!</v>
      </c>
      <c r="AG30" s="1"/>
      <c r="AH30" s="1"/>
      <c r="AI30" s="22" t="e">
        <f t="shared" si="2"/>
        <v>#DIV/0!</v>
      </c>
      <c r="AJ30" s="23" t="e">
        <f t="shared" si="3"/>
        <v>#DIV/0!</v>
      </c>
      <c r="AK30" s="4"/>
      <c r="AL30" s="2"/>
    </row>
    <row r="31" spans="1:38" ht="15" customHeight="1">
      <c r="A31" s="13">
        <v>24</v>
      </c>
      <c r="B31" s="40">
        <v>2301832904</v>
      </c>
      <c r="C31" s="33" t="s">
        <v>185</v>
      </c>
      <c r="D31" s="25">
        <v>10</v>
      </c>
      <c r="E31" s="25">
        <v>10</v>
      </c>
      <c r="F31" s="26">
        <v>10</v>
      </c>
      <c r="G31" s="2">
        <v>10</v>
      </c>
      <c r="H31" s="3">
        <v>10</v>
      </c>
      <c r="I31" s="44">
        <v>10</v>
      </c>
      <c r="J31" s="25">
        <v>10</v>
      </c>
      <c r="K31" s="3">
        <v>10</v>
      </c>
      <c r="L31" s="1">
        <v>10</v>
      </c>
      <c r="M31" s="2"/>
      <c r="N31" s="3"/>
      <c r="O31" s="44"/>
      <c r="P31" s="25"/>
      <c r="Q31" s="3"/>
      <c r="R31" s="44"/>
      <c r="S31" s="2"/>
      <c r="T31" s="3"/>
      <c r="U31" s="44"/>
      <c r="V31" s="25"/>
      <c r="W31" s="3"/>
      <c r="X31" s="44"/>
      <c r="Y31" s="25"/>
      <c r="Z31" s="43">
        <f t="shared" si="0"/>
        <v>5</v>
      </c>
      <c r="AA31" s="2"/>
      <c r="AB31" s="26"/>
      <c r="AC31" s="3"/>
      <c r="AD31" s="26"/>
      <c r="AE31" s="1"/>
      <c r="AF31" s="22" t="e">
        <f t="shared" si="1"/>
        <v>#DIV/0!</v>
      </c>
      <c r="AG31" s="1"/>
      <c r="AH31" s="1"/>
      <c r="AI31" s="22" t="e">
        <f t="shared" si="2"/>
        <v>#DIV/0!</v>
      </c>
      <c r="AJ31" s="23" t="e">
        <f t="shared" si="3"/>
        <v>#DIV/0!</v>
      </c>
      <c r="AK31" s="4"/>
      <c r="AL31" s="2"/>
    </row>
    <row r="32" spans="1:38" ht="15" customHeight="1">
      <c r="A32" s="13">
        <v>25</v>
      </c>
      <c r="B32" s="40">
        <v>1727901</v>
      </c>
      <c r="C32" s="33" t="s">
        <v>186</v>
      </c>
      <c r="D32" s="25">
        <v>10</v>
      </c>
      <c r="E32" s="25">
        <v>10</v>
      </c>
      <c r="F32" s="26">
        <v>10</v>
      </c>
      <c r="G32" s="2">
        <v>10</v>
      </c>
      <c r="H32" s="3">
        <v>10</v>
      </c>
      <c r="I32" s="44">
        <v>10</v>
      </c>
      <c r="J32" s="25">
        <v>10</v>
      </c>
      <c r="K32" s="3">
        <v>10</v>
      </c>
      <c r="L32" s="1">
        <v>10</v>
      </c>
      <c r="M32" s="2"/>
      <c r="N32" s="3"/>
      <c r="O32" s="44"/>
      <c r="P32" s="25"/>
      <c r="Q32" s="3"/>
      <c r="R32" s="44"/>
      <c r="S32" s="2"/>
      <c r="T32" s="3"/>
      <c r="U32" s="44"/>
      <c r="V32" s="25"/>
      <c r="W32" s="3"/>
      <c r="X32" s="44"/>
      <c r="Y32" s="25"/>
      <c r="Z32" s="43">
        <f t="shared" si="0"/>
        <v>5</v>
      </c>
      <c r="AA32" s="2"/>
      <c r="AB32" s="26"/>
      <c r="AC32" s="3"/>
      <c r="AD32" s="26"/>
      <c r="AE32" s="1"/>
      <c r="AF32" s="22" t="e">
        <f t="shared" si="1"/>
        <v>#DIV/0!</v>
      </c>
      <c r="AG32" s="1"/>
      <c r="AH32" s="1"/>
      <c r="AI32" s="22" t="e">
        <f t="shared" si="2"/>
        <v>#DIV/0!</v>
      </c>
      <c r="AJ32" s="23" t="e">
        <f t="shared" si="3"/>
        <v>#DIV/0!</v>
      </c>
      <c r="AK32" s="4"/>
      <c r="AL32" s="2"/>
    </row>
    <row r="33" spans="1:38" ht="15" customHeight="1">
      <c r="A33" s="13">
        <v>26</v>
      </c>
      <c r="B33" s="40">
        <v>2101765033</v>
      </c>
      <c r="C33" s="33" t="s">
        <v>187</v>
      </c>
      <c r="D33" s="25">
        <v>10</v>
      </c>
      <c r="E33" s="25">
        <v>10</v>
      </c>
      <c r="F33" s="26">
        <v>10</v>
      </c>
      <c r="G33" s="2">
        <v>10</v>
      </c>
      <c r="H33" s="3">
        <v>10</v>
      </c>
      <c r="I33" s="44">
        <v>10</v>
      </c>
      <c r="J33" s="25">
        <v>10</v>
      </c>
      <c r="K33" s="3">
        <v>10</v>
      </c>
      <c r="L33" s="1">
        <v>10</v>
      </c>
      <c r="M33" s="2"/>
      <c r="N33" s="3"/>
      <c r="O33" s="44"/>
      <c r="P33" s="25"/>
      <c r="Q33" s="3"/>
      <c r="R33" s="44"/>
      <c r="S33" s="2"/>
      <c r="T33" s="3"/>
      <c r="U33" s="44"/>
      <c r="V33" s="25"/>
      <c r="W33" s="3"/>
      <c r="X33" s="44"/>
      <c r="Y33" s="25"/>
      <c r="Z33" s="43">
        <f t="shared" si="0"/>
        <v>5</v>
      </c>
      <c r="AA33" s="2"/>
      <c r="AB33" s="26"/>
      <c r="AC33" s="3"/>
      <c r="AD33" s="26"/>
      <c r="AE33" s="1"/>
      <c r="AF33" s="22" t="e">
        <f t="shared" si="1"/>
        <v>#DIV/0!</v>
      </c>
      <c r="AG33" s="1"/>
      <c r="AH33" s="1"/>
      <c r="AI33" s="22" t="e">
        <f t="shared" si="2"/>
        <v>#DIV/0!</v>
      </c>
      <c r="AJ33" s="23" t="e">
        <f t="shared" si="3"/>
        <v>#DIV/0!</v>
      </c>
      <c r="AK33" s="4"/>
      <c r="AL33" s="2"/>
    </row>
    <row r="34" spans="1:38" ht="15" customHeight="1">
      <c r="A34" s="13">
        <v>27</v>
      </c>
      <c r="B34" s="40">
        <v>1727644</v>
      </c>
      <c r="C34" s="33" t="s">
        <v>188</v>
      </c>
      <c r="D34" s="25">
        <v>10</v>
      </c>
      <c r="E34" s="25">
        <v>10</v>
      </c>
      <c r="F34" s="26">
        <v>10</v>
      </c>
      <c r="G34" s="2">
        <v>10</v>
      </c>
      <c r="H34" s="3">
        <v>10</v>
      </c>
      <c r="I34" s="44">
        <v>10</v>
      </c>
      <c r="J34" s="25">
        <v>10</v>
      </c>
      <c r="K34" s="3">
        <v>10</v>
      </c>
      <c r="L34" s="1">
        <v>10</v>
      </c>
      <c r="M34" s="2"/>
      <c r="N34" s="3"/>
      <c r="O34" s="44"/>
      <c r="P34" s="25"/>
      <c r="Q34" s="3"/>
      <c r="R34" s="44"/>
      <c r="S34" s="2"/>
      <c r="T34" s="3"/>
      <c r="U34" s="44"/>
      <c r="V34" s="25"/>
      <c r="W34" s="3"/>
      <c r="X34" s="44"/>
      <c r="Y34" s="25"/>
      <c r="Z34" s="43">
        <f t="shared" si="0"/>
        <v>5</v>
      </c>
      <c r="AA34" s="2"/>
      <c r="AB34" s="26"/>
      <c r="AC34" s="3"/>
      <c r="AD34" s="26"/>
      <c r="AE34" s="1"/>
      <c r="AF34" s="22" t="e">
        <f t="shared" si="1"/>
        <v>#DIV/0!</v>
      </c>
      <c r="AG34" s="1"/>
      <c r="AH34" s="1"/>
      <c r="AI34" s="22" t="e">
        <f t="shared" si="2"/>
        <v>#DIV/0!</v>
      </c>
      <c r="AJ34" s="23" t="e">
        <f t="shared" si="3"/>
        <v>#DIV/0!</v>
      </c>
      <c r="AK34" s="4"/>
      <c r="AL34" s="2"/>
    </row>
    <row r="35" spans="1:38" ht="15" customHeight="1">
      <c r="A35" s="13">
        <v>28</v>
      </c>
      <c r="B35" s="40">
        <v>1727532</v>
      </c>
      <c r="C35" s="33" t="s">
        <v>189</v>
      </c>
      <c r="D35" s="25">
        <v>10</v>
      </c>
      <c r="E35" s="25">
        <v>10</v>
      </c>
      <c r="F35" s="26">
        <v>10</v>
      </c>
      <c r="G35" s="2">
        <v>10</v>
      </c>
      <c r="H35" s="3">
        <v>10</v>
      </c>
      <c r="I35" s="44">
        <v>10</v>
      </c>
      <c r="J35" s="25">
        <v>10</v>
      </c>
      <c r="K35" s="3">
        <v>10</v>
      </c>
      <c r="L35" s="1"/>
      <c r="M35" s="2"/>
      <c r="N35" s="3"/>
      <c r="O35" s="44"/>
      <c r="P35" s="25"/>
      <c r="Q35" s="3"/>
      <c r="R35" s="44"/>
      <c r="S35" s="2"/>
      <c r="T35" s="3"/>
      <c r="U35" s="44"/>
      <c r="V35" s="25"/>
      <c r="W35" s="3"/>
      <c r="X35" s="44"/>
      <c r="Y35" s="25"/>
      <c r="Z35" s="43">
        <f t="shared" si="0"/>
        <v>5</v>
      </c>
      <c r="AA35" s="2"/>
      <c r="AB35" s="26"/>
      <c r="AC35" s="3"/>
      <c r="AD35" s="26"/>
      <c r="AE35" s="1"/>
      <c r="AF35" s="22" t="e">
        <f t="shared" si="1"/>
        <v>#DIV/0!</v>
      </c>
      <c r="AG35" s="1"/>
      <c r="AH35" s="1"/>
      <c r="AI35" s="22" t="e">
        <f t="shared" si="2"/>
        <v>#DIV/0!</v>
      </c>
      <c r="AJ35" s="23" t="e">
        <f t="shared" si="3"/>
        <v>#DIV/0!</v>
      </c>
      <c r="AK35" s="4"/>
      <c r="AL35" s="2"/>
    </row>
    <row r="36" spans="1:38" ht="15" customHeight="1">
      <c r="A36" s="13">
        <v>29</v>
      </c>
      <c r="B36" s="40">
        <v>1701575083</v>
      </c>
      <c r="C36" s="33" t="s">
        <v>190</v>
      </c>
      <c r="D36" s="25">
        <v>10</v>
      </c>
      <c r="E36" s="25">
        <v>10</v>
      </c>
      <c r="F36" s="26">
        <v>10</v>
      </c>
      <c r="G36" s="2">
        <v>10</v>
      </c>
      <c r="H36" s="3">
        <v>10</v>
      </c>
      <c r="I36" s="44">
        <v>10</v>
      </c>
      <c r="J36" s="25">
        <v>10</v>
      </c>
      <c r="K36" s="3">
        <v>10</v>
      </c>
      <c r="L36" s="1">
        <v>10</v>
      </c>
      <c r="M36" s="2"/>
      <c r="N36" s="3"/>
      <c r="O36" s="44"/>
      <c r="P36" s="25"/>
      <c r="Q36" s="3"/>
      <c r="R36" s="44"/>
      <c r="S36" s="2"/>
      <c r="T36" s="3"/>
      <c r="U36" s="44"/>
      <c r="V36" s="25"/>
      <c r="W36" s="3"/>
      <c r="X36" s="44"/>
      <c r="Y36" s="25"/>
      <c r="Z36" s="43">
        <f t="shared" si="0"/>
        <v>5</v>
      </c>
      <c r="AA36" s="2"/>
      <c r="AB36" s="26"/>
      <c r="AC36" s="3"/>
      <c r="AD36" s="26"/>
      <c r="AE36" s="1"/>
      <c r="AF36" s="22" t="e">
        <f t="shared" si="1"/>
        <v>#DIV/0!</v>
      </c>
      <c r="AG36" s="1"/>
      <c r="AH36" s="1"/>
      <c r="AI36" s="22" t="e">
        <f t="shared" si="2"/>
        <v>#DIV/0!</v>
      </c>
      <c r="AJ36" s="23" t="e">
        <f t="shared" si="3"/>
        <v>#DIV/0!</v>
      </c>
      <c r="AK36" s="4"/>
      <c r="AL36" s="2"/>
    </row>
    <row r="37" spans="1:38" ht="15" customHeight="1">
      <c r="A37" s="13">
        <v>30</v>
      </c>
      <c r="B37" s="40">
        <v>1701638588</v>
      </c>
      <c r="C37" s="33" t="s">
        <v>191</v>
      </c>
      <c r="D37" s="25">
        <v>10</v>
      </c>
      <c r="E37" s="25">
        <v>10</v>
      </c>
      <c r="F37" s="26">
        <v>10</v>
      </c>
      <c r="G37" s="2">
        <v>10</v>
      </c>
      <c r="H37" s="3">
        <v>10</v>
      </c>
      <c r="I37" s="44">
        <v>10</v>
      </c>
      <c r="J37" s="25">
        <v>10</v>
      </c>
      <c r="K37" s="3">
        <v>10</v>
      </c>
      <c r="L37" s="1">
        <v>10</v>
      </c>
      <c r="M37" s="2"/>
      <c r="N37" s="3"/>
      <c r="O37" s="44"/>
      <c r="P37" s="25"/>
      <c r="Q37" s="3"/>
      <c r="R37" s="44"/>
      <c r="S37" s="2"/>
      <c r="T37" s="3"/>
      <c r="U37" s="44"/>
      <c r="V37" s="25"/>
      <c r="W37" s="3"/>
      <c r="X37" s="44"/>
      <c r="Y37" s="25"/>
      <c r="Z37" s="43">
        <f t="shared" si="0"/>
        <v>5</v>
      </c>
      <c r="AA37" s="2"/>
      <c r="AB37" s="26"/>
      <c r="AC37" s="3"/>
      <c r="AD37" s="26"/>
      <c r="AE37" s="1"/>
      <c r="AF37" s="22" t="e">
        <f t="shared" si="1"/>
        <v>#DIV/0!</v>
      </c>
      <c r="AG37" s="1"/>
      <c r="AH37" s="1"/>
      <c r="AI37" s="22" t="e">
        <f t="shared" si="2"/>
        <v>#DIV/0!</v>
      </c>
      <c r="AJ37" s="23" t="e">
        <f t="shared" si="3"/>
        <v>#DIV/0!</v>
      </c>
      <c r="AK37" s="4"/>
      <c r="AL37" s="2"/>
    </row>
    <row r="38" spans="1:38" ht="15" customHeight="1">
      <c r="A38" s="13">
        <v>31</v>
      </c>
      <c r="B38" s="40">
        <v>1727507</v>
      </c>
      <c r="C38" s="33" t="s">
        <v>192</v>
      </c>
      <c r="D38" s="25">
        <v>10</v>
      </c>
      <c r="E38" s="25">
        <v>10</v>
      </c>
      <c r="F38" s="26">
        <v>10</v>
      </c>
      <c r="G38" s="2">
        <v>10</v>
      </c>
      <c r="H38" s="3">
        <v>10</v>
      </c>
      <c r="I38" s="44">
        <v>10</v>
      </c>
      <c r="J38" s="25">
        <v>10</v>
      </c>
      <c r="K38" s="3">
        <v>10</v>
      </c>
      <c r="L38" s="1">
        <v>10</v>
      </c>
      <c r="M38" s="2"/>
      <c r="N38" s="3"/>
      <c r="O38" s="44"/>
      <c r="P38" s="25"/>
      <c r="Q38" s="3"/>
      <c r="R38" s="44"/>
      <c r="S38" s="2"/>
      <c r="T38" s="3"/>
      <c r="U38" s="44"/>
      <c r="V38" s="25"/>
      <c r="W38" s="3"/>
      <c r="X38" s="44"/>
      <c r="Y38" s="25"/>
      <c r="Z38" s="43">
        <f t="shared" si="0"/>
        <v>5</v>
      </c>
      <c r="AA38" s="2"/>
      <c r="AB38" s="26"/>
      <c r="AC38" s="3"/>
      <c r="AD38" s="26"/>
      <c r="AE38" s="1"/>
      <c r="AF38" s="22" t="e">
        <f t="shared" si="1"/>
        <v>#DIV/0!</v>
      </c>
      <c r="AG38" s="1"/>
      <c r="AH38" s="1"/>
      <c r="AI38" s="22" t="e">
        <f t="shared" ref="AI38" si="4">AVERAGE(AG38:AH38)</f>
        <v>#DIV/0!</v>
      </c>
      <c r="AJ38" s="23" t="e">
        <f t="shared" si="3"/>
        <v>#DIV/0!</v>
      </c>
      <c r="AK38" s="4"/>
      <c r="AL38" s="2"/>
    </row>
    <row r="39" spans="1:38" ht="15" customHeight="1">
      <c r="A39" s="13">
        <v>32</v>
      </c>
      <c r="B39" s="40">
        <v>1727576</v>
      </c>
      <c r="C39" s="33" t="s">
        <v>193</v>
      </c>
      <c r="D39" s="25">
        <v>10</v>
      </c>
      <c r="E39" s="25">
        <v>10</v>
      </c>
      <c r="F39" s="26">
        <v>10</v>
      </c>
      <c r="G39" s="2">
        <v>10</v>
      </c>
      <c r="H39" s="3">
        <v>10</v>
      </c>
      <c r="I39" s="44">
        <v>10</v>
      </c>
      <c r="J39" s="25">
        <v>10</v>
      </c>
      <c r="K39" s="3">
        <v>10</v>
      </c>
      <c r="L39" s="1">
        <v>10</v>
      </c>
      <c r="M39" s="2"/>
      <c r="N39" s="3"/>
      <c r="O39" s="44"/>
      <c r="P39" s="25"/>
      <c r="Q39" s="3"/>
      <c r="R39" s="44"/>
      <c r="S39" s="2"/>
      <c r="T39" s="3"/>
      <c r="U39" s="44"/>
      <c r="V39" s="25"/>
      <c r="W39" s="3"/>
      <c r="X39" s="44"/>
      <c r="Y39" s="25"/>
      <c r="Z39" s="43">
        <f t="shared" ref="Z39:Z45" si="5">AVERAGE(D39:Y39)/2</f>
        <v>5</v>
      </c>
      <c r="AA39" s="2"/>
      <c r="AB39" s="26"/>
      <c r="AC39" s="3"/>
      <c r="AD39" s="26"/>
      <c r="AE39" s="1"/>
      <c r="AF39" s="22" t="e">
        <f t="shared" ref="AF39:AF45" si="6">AVERAGE(AA39:AE39)/3.33</f>
        <v>#DIV/0!</v>
      </c>
      <c r="AG39" s="1"/>
      <c r="AH39" s="1"/>
      <c r="AI39" s="22" t="e">
        <f t="shared" ref="AI39:AI45" si="7">AVERAGE(AG39:AH39)</f>
        <v>#DIV/0!</v>
      </c>
      <c r="AJ39" s="23" t="e">
        <f t="shared" ref="AJ39:AJ45" si="8">SUM(AI39,AF39,Z39)</f>
        <v>#DIV/0!</v>
      </c>
      <c r="AK39" s="4"/>
      <c r="AL39" s="2"/>
    </row>
    <row r="40" spans="1:38" ht="15" customHeight="1">
      <c r="A40" s="13">
        <v>33</v>
      </c>
      <c r="B40" s="40">
        <v>2601916599</v>
      </c>
      <c r="C40" s="33" t="s">
        <v>194</v>
      </c>
      <c r="D40" s="25">
        <v>10</v>
      </c>
      <c r="E40" s="25">
        <v>10</v>
      </c>
      <c r="F40" s="26">
        <v>10</v>
      </c>
      <c r="G40" s="2">
        <v>10</v>
      </c>
      <c r="H40" s="3">
        <v>10</v>
      </c>
      <c r="I40" s="44">
        <v>10</v>
      </c>
      <c r="J40" s="25">
        <v>10</v>
      </c>
      <c r="K40" s="3">
        <v>10</v>
      </c>
      <c r="L40" s="1">
        <v>10</v>
      </c>
      <c r="M40" s="2"/>
      <c r="N40" s="3"/>
      <c r="O40" s="44"/>
      <c r="P40" s="25"/>
      <c r="Q40" s="3"/>
      <c r="R40" s="44"/>
      <c r="S40" s="2"/>
      <c r="T40" s="3"/>
      <c r="U40" s="44"/>
      <c r="V40" s="25"/>
      <c r="W40" s="3"/>
      <c r="X40" s="44"/>
      <c r="Y40" s="25"/>
      <c r="Z40" s="43">
        <f t="shared" si="5"/>
        <v>5</v>
      </c>
      <c r="AA40" s="2"/>
      <c r="AB40" s="26"/>
      <c r="AC40" s="3"/>
      <c r="AD40" s="26"/>
      <c r="AE40" s="1"/>
      <c r="AF40" s="22" t="e">
        <f t="shared" si="6"/>
        <v>#DIV/0!</v>
      </c>
      <c r="AG40" s="1"/>
      <c r="AH40" s="1"/>
      <c r="AI40" s="22" t="e">
        <f t="shared" si="7"/>
        <v>#DIV/0!</v>
      </c>
      <c r="AJ40" s="23" t="e">
        <f t="shared" si="8"/>
        <v>#DIV/0!</v>
      </c>
      <c r="AK40" s="4"/>
      <c r="AL40" s="2"/>
    </row>
    <row r="41" spans="1:38" ht="15" customHeight="1">
      <c r="A41" s="13">
        <v>34</v>
      </c>
      <c r="B41" s="40">
        <v>1727803</v>
      </c>
      <c r="C41" s="33" t="s">
        <v>195</v>
      </c>
      <c r="D41" s="25">
        <v>10</v>
      </c>
      <c r="E41" s="25">
        <v>10</v>
      </c>
      <c r="F41" s="26">
        <v>0</v>
      </c>
      <c r="G41" s="2">
        <v>10</v>
      </c>
      <c r="H41" s="3">
        <v>10</v>
      </c>
      <c r="I41" s="44">
        <v>10</v>
      </c>
      <c r="J41" s="25">
        <v>10</v>
      </c>
      <c r="K41" s="3">
        <v>10</v>
      </c>
      <c r="L41" s="1">
        <v>10</v>
      </c>
      <c r="M41" s="2"/>
      <c r="N41" s="3"/>
      <c r="O41" s="44"/>
      <c r="P41" s="25"/>
      <c r="Q41" s="3"/>
      <c r="R41" s="44"/>
      <c r="S41" s="2"/>
      <c r="T41" s="3"/>
      <c r="U41" s="44"/>
      <c r="V41" s="25"/>
      <c r="W41" s="3"/>
      <c r="X41" s="44"/>
      <c r="Y41" s="25"/>
      <c r="Z41" s="43">
        <f t="shared" si="5"/>
        <v>4.4444444444444446</v>
      </c>
      <c r="AA41" s="2"/>
      <c r="AB41" s="26"/>
      <c r="AC41" s="3"/>
      <c r="AD41" s="26"/>
      <c r="AE41" s="1"/>
      <c r="AF41" s="22" t="e">
        <f t="shared" si="6"/>
        <v>#DIV/0!</v>
      </c>
      <c r="AG41" s="1"/>
      <c r="AH41" s="1"/>
      <c r="AI41" s="22" t="e">
        <f t="shared" si="7"/>
        <v>#DIV/0!</v>
      </c>
      <c r="AJ41" s="23" t="e">
        <f t="shared" si="8"/>
        <v>#DIV/0!</v>
      </c>
      <c r="AK41" s="4"/>
      <c r="AL41" s="2"/>
    </row>
    <row r="42" spans="1:38" ht="15" customHeight="1">
      <c r="A42" s="13">
        <v>35</v>
      </c>
      <c r="B42" s="40">
        <v>2101765064</v>
      </c>
      <c r="C42" s="33" t="s">
        <v>196</v>
      </c>
      <c r="D42" s="25">
        <v>10</v>
      </c>
      <c r="E42" s="25">
        <v>10</v>
      </c>
      <c r="F42" s="26">
        <v>10</v>
      </c>
      <c r="G42" s="2">
        <v>10</v>
      </c>
      <c r="H42" s="3">
        <v>10</v>
      </c>
      <c r="I42" s="44">
        <v>10</v>
      </c>
      <c r="J42" s="25">
        <v>10</v>
      </c>
      <c r="K42" s="3">
        <v>10</v>
      </c>
      <c r="L42" s="1">
        <v>10</v>
      </c>
      <c r="M42" s="2"/>
      <c r="N42" s="3"/>
      <c r="O42" s="44"/>
      <c r="P42" s="25"/>
      <c r="Q42" s="3"/>
      <c r="R42" s="44"/>
      <c r="S42" s="2"/>
      <c r="T42" s="3"/>
      <c r="U42" s="44"/>
      <c r="V42" s="25"/>
      <c r="W42" s="3"/>
      <c r="X42" s="44"/>
      <c r="Y42" s="25"/>
      <c r="Z42" s="43">
        <f t="shared" si="5"/>
        <v>5</v>
      </c>
      <c r="AA42" s="2"/>
      <c r="AB42" s="26"/>
      <c r="AC42" s="3"/>
      <c r="AD42" s="26"/>
      <c r="AE42" s="1"/>
      <c r="AF42" s="22" t="e">
        <f t="shared" si="6"/>
        <v>#DIV/0!</v>
      </c>
      <c r="AG42" s="1"/>
      <c r="AH42" s="1"/>
      <c r="AI42" s="22" t="e">
        <f t="shared" si="7"/>
        <v>#DIV/0!</v>
      </c>
      <c r="AJ42" s="23" t="e">
        <f t="shared" si="8"/>
        <v>#DIV/0!</v>
      </c>
      <c r="AK42" s="4"/>
      <c r="AL42" s="2"/>
    </row>
    <row r="43" spans="1:38" ht="15" customHeight="1">
      <c r="A43" s="13">
        <v>36</v>
      </c>
      <c r="B43" s="40">
        <v>1727410</v>
      </c>
      <c r="C43" s="33" t="s">
        <v>197</v>
      </c>
      <c r="D43" s="25">
        <v>10</v>
      </c>
      <c r="E43" s="25">
        <v>10</v>
      </c>
      <c r="F43" s="26">
        <v>10</v>
      </c>
      <c r="G43" s="2">
        <v>10</v>
      </c>
      <c r="H43" s="3">
        <v>10</v>
      </c>
      <c r="I43" s="44">
        <v>10</v>
      </c>
      <c r="J43" s="25">
        <v>10</v>
      </c>
      <c r="K43" s="3">
        <v>10</v>
      </c>
      <c r="L43" s="1">
        <v>0</v>
      </c>
      <c r="M43" s="2"/>
      <c r="N43" s="3"/>
      <c r="O43" s="44"/>
      <c r="P43" s="25"/>
      <c r="Q43" s="3"/>
      <c r="R43" s="44"/>
      <c r="S43" s="2"/>
      <c r="T43" s="3"/>
      <c r="U43" s="44"/>
      <c r="V43" s="25"/>
      <c r="W43" s="3"/>
      <c r="X43" s="44"/>
      <c r="Y43" s="25"/>
      <c r="Z43" s="43">
        <f t="shared" si="5"/>
        <v>4.4444444444444446</v>
      </c>
      <c r="AA43" s="2"/>
      <c r="AB43" s="26"/>
      <c r="AC43" s="3"/>
      <c r="AD43" s="26"/>
      <c r="AE43" s="1"/>
      <c r="AF43" s="22" t="e">
        <f t="shared" si="6"/>
        <v>#DIV/0!</v>
      </c>
      <c r="AG43" s="1"/>
      <c r="AH43" s="1"/>
      <c r="AI43" s="22" t="e">
        <f t="shared" si="7"/>
        <v>#DIV/0!</v>
      </c>
      <c r="AJ43" s="23" t="e">
        <f t="shared" si="8"/>
        <v>#DIV/0!</v>
      </c>
      <c r="AK43" s="4"/>
      <c r="AL43" s="2"/>
    </row>
    <row r="44" spans="1:38" ht="15" customHeight="1">
      <c r="A44" s="13">
        <v>37</v>
      </c>
      <c r="B44" s="40">
        <v>2101764300</v>
      </c>
      <c r="C44" s="33" t="s">
        <v>198</v>
      </c>
      <c r="D44" s="25">
        <v>10</v>
      </c>
      <c r="E44" s="25">
        <v>10</v>
      </c>
      <c r="F44" s="26">
        <v>10</v>
      </c>
      <c r="G44" s="2">
        <v>10</v>
      </c>
      <c r="H44" s="3">
        <v>10</v>
      </c>
      <c r="I44" s="44">
        <v>10</v>
      </c>
      <c r="J44" s="25">
        <v>10</v>
      </c>
      <c r="K44" s="3">
        <v>10</v>
      </c>
      <c r="L44" s="1">
        <v>10</v>
      </c>
      <c r="M44" s="2"/>
      <c r="N44" s="3"/>
      <c r="O44" s="44"/>
      <c r="P44" s="25"/>
      <c r="Q44" s="3"/>
      <c r="R44" s="44"/>
      <c r="S44" s="2"/>
      <c r="T44" s="3"/>
      <c r="U44" s="44"/>
      <c r="V44" s="25"/>
      <c r="W44" s="3"/>
      <c r="X44" s="44"/>
      <c r="Y44" s="25"/>
      <c r="Z44" s="43">
        <f t="shared" si="5"/>
        <v>5</v>
      </c>
      <c r="AA44" s="2"/>
      <c r="AB44" s="26"/>
      <c r="AC44" s="3"/>
      <c r="AD44" s="26"/>
      <c r="AE44" s="1"/>
      <c r="AF44" s="22" t="e">
        <f t="shared" si="6"/>
        <v>#DIV/0!</v>
      </c>
      <c r="AG44" s="1"/>
      <c r="AH44" s="1"/>
      <c r="AI44" s="22" t="e">
        <f t="shared" si="7"/>
        <v>#DIV/0!</v>
      </c>
      <c r="AJ44" s="23" t="e">
        <f t="shared" si="8"/>
        <v>#DIV/0!</v>
      </c>
      <c r="AK44" s="4"/>
      <c r="AL44" s="2"/>
    </row>
    <row r="45" spans="1:38" ht="15" customHeight="1">
      <c r="A45" s="13">
        <v>38</v>
      </c>
      <c r="B45" s="40">
        <v>1727393</v>
      </c>
      <c r="C45" s="33" t="s">
        <v>199</v>
      </c>
      <c r="D45" s="25" t="s">
        <v>31</v>
      </c>
      <c r="E45" s="25" t="s">
        <v>31</v>
      </c>
      <c r="F45" s="26" t="s">
        <v>31</v>
      </c>
      <c r="G45" s="2" t="s">
        <v>31</v>
      </c>
      <c r="H45" s="3" t="s">
        <v>31</v>
      </c>
      <c r="I45" s="44" t="s">
        <v>31</v>
      </c>
      <c r="J45" s="25"/>
      <c r="K45" s="3"/>
      <c r="L45" s="1"/>
      <c r="M45" s="2"/>
      <c r="N45" s="3"/>
      <c r="O45" s="44"/>
      <c r="P45" s="25"/>
      <c r="Q45" s="3"/>
      <c r="R45" s="44"/>
      <c r="S45" s="2"/>
      <c r="T45" s="3"/>
      <c r="U45" s="44"/>
      <c r="V45" s="25"/>
      <c r="W45" s="3"/>
      <c r="X45" s="44"/>
      <c r="Y45" s="25"/>
      <c r="Z45" s="43" t="e">
        <f t="shared" si="5"/>
        <v>#DIV/0!</v>
      </c>
      <c r="AA45" s="2"/>
      <c r="AB45" s="26"/>
      <c r="AC45" s="3"/>
      <c r="AD45" s="26"/>
      <c r="AE45" s="1"/>
      <c r="AF45" s="22" t="e">
        <f t="shared" si="6"/>
        <v>#DIV/0!</v>
      </c>
      <c r="AG45" s="1"/>
      <c r="AH45" s="1"/>
      <c r="AI45" s="22" t="e">
        <f t="shared" si="7"/>
        <v>#DIV/0!</v>
      </c>
      <c r="AJ45" s="23" t="e">
        <f t="shared" si="8"/>
        <v>#DIV/0!</v>
      </c>
      <c r="AK45" s="4"/>
      <c r="AL45" s="2"/>
    </row>
    <row r="46" spans="1:38" ht="14.45">
      <c r="A46" s="17"/>
      <c r="B46" s="41"/>
    </row>
    <row r="47" spans="1:38" ht="14.45">
      <c r="A47" s="17"/>
      <c r="B47" s="41"/>
    </row>
    <row r="48" spans="1:38" ht="14.45">
      <c r="A48" s="17"/>
      <c r="B48" s="41"/>
    </row>
    <row r="49" spans="1:2" ht="14.45">
      <c r="A49" s="17"/>
      <c r="B49" s="41"/>
    </row>
    <row r="50" spans="1:2" ht="14.45">
      <c r="A50" s="17"/>
      <c r="B50" s="41"/>
    </row>
    <row r="51" spans="1:2" ht="14.45">
      <c r="A51" s="17"/>
      <c r="B51" s="41"/>
    </row>
    <row r="52" spans="1:2" ht="14.45">
      <c r="A52" s="17"/>
      <c r="B52" s="41"/>
    </row>
    <row r="53" spans="1:2" ht="14.45">
      <c r="A53" s="17"/>
      <c r="B53" s="41"/>
    </row>
    <row r="54" spans="1:2" ht="14.45">
      <c r="A54" s="17"/>
      <c r="B54" s="41"/>
    </row>
    <row r="55" spans="1:2" ht="14.45">
      <c r="A55" s="17"/>
      <c r="B55" s="41"/>
    </row>
    <row r="56" spans="1:2" ht="14.45">
      <c r="A56" s="17"/>
      <c r="B56" s="41"/>
    </row>
    <row r="57" spans="1:2" ht="14.45">
      <c r="A57" s="17"/>
      <c r="B57" s="41"/>
    </row>
    <row r="58" spans="1:2" ht="14.45">
      <c r="A58" s="17"/>
      <c r="B58" s="41"/>
    </row>
    <row r="59" spans="1:2" ht="14.45">
      <c r="A59" s="17"/>
      <c r="B59" s="41"/>
    </row>
    <row r="60" spans="1:2" ht="14.45">
      <c r="A60" s="17"/>
      <c r="B60" s="41"/>
    </row>
    <row r="61" spans="1:2" ht="14.45">
      <c r="A61" s="17"/>
      <c r="B61" s="41"/>
    </row>
    <row r="62" spans="1:2" ht="14.45">
      <c r="A62" s="17"/>
      <c r="B62" s="41"/>
    </row>
    <row r="63" spans="1:2" ht="14.45">
      <c r="A63" s="17"/>
      <c r="B63" s="41"/>
    </row>
    <row r="64" spans="1:2" ht="14.45">
      <c r="A64" s="17"/>
      <c r="B64" s="41"/>
    </row>
    <row r="65" spans="1:3" ht="14.45">
      <c r="A65" s="17"/>
      <c r="B65" s="41"/>
    </row>
    <row r="66" spans="1:3" ht="14.45">
      <c r="A66" s="17"/>
      <c r="B66" s="41"/>
    </row>
    <row r="67" spans="1:3" ht="14.45">
      <c r="A67" s="17"/>
      <c r="B67" s="41"/>
    </row>
    <row r="68" spans="1:3" ht="14.45">
      <c r="A68" s="17"/>
      <c r="B68" s="41"/>
    </row>
    <row r="69" spans="1:3" ht="14.45">
      <c r="A69" s="17"/>
      <c r="B69" s="41"/>
    </row>
    <row r="70" spans="1:3" ht="14.45">
      <c r="A70" s="19"/>
      <c r="B70" s="20"/>
      <c r="C70" s="20"/>
    </row>
  </sheetData>
  <sortState xmlns:xlrd2="http://schemas.microsoft.com/office/spreadsheetml/2017/richdata2" ref="C8:C43">
    <sortCondition ref="C8:C43"/>
  </sortState>
  <mergeCells count="41">
    <mergeCell ref="AI5:AI7"/>
    <mergeCell ref="G5:G7"/>
    <mergeCell ref="D5:D7"/>
    <mergeCell ref="J5:J7"/>
    <mergeCell ref="Q5:Q7"/>
    <mergeCell ref="R5:R7"/>
    <mergeCell ref="M5:M7"/>
    <mergeCell ref="N5:N7"/>
    <mergeCell ref="D1:AJ2"/>
    <mergeCell ref="S5:S7"/>
    <mergeCell ref="Z5:Z7"/>
    <mergeCell ref="W5:W7"/>
    <mergeCell ref="E5:E7"/>
    <mergeCell ref="H5:H7"/>
    <mergeCell ref="K5:K7"/>
    <mergeCell ref="F5:F7"/>
    <mergeCell ref="I5:I7"/>
    <mergeCell ref="L5:L7"/>
    <mergeCell ref="T5:T7"/>
    <mergeCell ref="U5:U7"/>
    <mergeCell ref="AK1:AL2"/>
    <mergeCell ref="D3:AJ3"/>
    <mergeCell ref="AK3:AK7"/>
    <mergeCell ref="AL3:AL7"/>
    <mergeCell ref="D4:Z4"/>
    <mergeCell ref="AA4:AF4"/>
    <mergeCell ref="AG4:AI4"/>
    <mergeCell ref="AJ4:AJ7"/>
    <mergeCell ref="AE5:AE7"/>
    <mergeCell ref="AF5:AF7"/>
    <mergeCell ref="AG5:AG7"/>
    <mergeCell ref="AH5:AH7"/>
    <mergeCell ref="AD5:AD7"/>
    <mergeCell ref="AA5:AA7"/>
    <mergeCell ref="O5:O7"/>
    <mergeCell ref="P5:P7"/>
    <mergeCell ref="X5:X7"/>
    <mergeCell ref="AC5:AC7"/>
    <mergeCell ref="V5:V7"/>
    <mergeCell ref="AB5:AB7"/>
    <mergeCell ref="Y5:Y7"/>
  </mergeCells>
  <conditionalFormatting sqref="D8:L45 S8:AL45">
    <cfRule type="cellIs" dxfId="3" priority="2" operator="lessThan">
      <formula>7</formula>
    </cfRule>
  </conditionalFormatting>
  <conditionalFormatting sqref="M8:R45">
    <cfRule type="cellIs" dxfId="2" priority="1" operator="lessThan">
      <formula>7</formula>
    </cfRule>
  </conditionalFormatting>
  <pageMargins left="0.25" right="0.25" top="0.75" bottom="0.75" header="0.3" footer="0.3"/>
  <pageSetup paperSize="9" scale="4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G37"/>
  <sheetViews>
    <sheetView showGridLines="0" tabSelected="1" topLeftCell="A4" zoomScaleNormal="100" workbookViewId="0">
      <selection activeCell="AG19" sqref="AG19"/>
    </sheetView>
  </sheetViews>
  <sheetFormatPr defaultColWidth="9.140625" defaultRowHeight="15" customHeight="1"/>
  <cols>
    <col min="1" max="1" width="5.140625" customWidth="1"/>
    <col min="2" max="2" width="11" customWidth="1"/>
    <col min="3" max="3" width="42.140625" bestFit="1" customWidth="1"/>
    <col min="4" max="29" width="4.28515625" customWidth="1"/>
    <col min="30" max="32" width="6.7109375" customWidth="1"/>
  </cols>
  <sheetData>
    <row r="1" spans="1:33" ht="15" customHeight="1">
      <c r="A1" s="7"/>
      <c r="B1" s="8"/>
      <c r="C1" s="8"/>
      <c r="D1" s="114" t="s">
        <v>98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9" t="s">
        <v>200</v>
      </c>
      <c r="AF1" s="90"/>
    </row>
    <row r="2" spans="1:33" ht="15" customHeight="1">
      <c r="A2" s="9"/>
      <c r="B2" s="37"/>
      <c r="C2" s="10"/>
      <c r="D2" s="115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91"/>
      <c r="AF2" s="92"/>
    </row>
    <row r="3" spans="1:33" ht="15" customHeight="1">
      <c r="A3" s="5"/>
      <c r="B3" s="38"/>
      <c r="C3" s="6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3"/>
      <c r="AE3" s="54" t="s">
        <v>2</v>
      </c>
      <c r="AF3" s="57" t="s">
        <v>3</v>
      </c>
    </row>
    <row r="4" spans="1:33" ht="15" customHeight="1">
      <c r="A4" s="5"/>
      <c r="B4" s="38"/>
      <c r="C4" s="6"/>
      <c r="D4" s="70" t="s">
        <v>100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3"/>
      <c r="U4" s="93" t="s">
        <v>101</v>
      </c>
      <c r="V4" s="52"/>
      <c r="W4" s="52"/>
      <c r="X4" s="52"/>
      <c r="Y4" s="52"/>
      <c r="Z4" s="94"/>
      <c r="AA4" s="52" t="s">
        <v>102</v>
      </c>
      <c r="AB4" s="52"/>
      <c r="AC4" s="94"/>
      <c r="AD4" s="60" t="s">
        <v>7</v>
      </c>
      <c r="AE4" s="55"/>
      <c r="AF4" s="58"/>
    </row>
    <row r="5" spans="1:33" ht="15" customHeight="1">
      <c r="A5" s="5"/>
      <c r="B5" s="38"/>
      <c r="C5" s="6"/>
      <c r="D5" s="98" t="s">
        <v>201</v>
      </c>
      <c r="E5" s="69" t="s">
        <v>104</v>
      </c>
      <c r="F5" s="108" t="s">
        <v>105</v>
      </c>
      <c r="G5" s="101" t="s">
        <v>202</v>
      </c>
      <c r="H5" s="69" t="s">
        <v>107</v>
      </c>
      <c r="I5" s="111" t="s">
        <v>108</v>
      </c>
      <c r="J5" s="63" t="s">
        <v>203</v>
      </c>
      <c r="K5" s="69" t="s">
        <v>110</v>
      </c>
      <c r="L5" s="108" t="s">
        <v>204</v>
      </c>
      <c r="M5" s="101" t="s">
        <v>112</v>
      </c>
      <c r="N5" s="69" t="s">
        <v>112</v>
      </c>
      <c r="O5" s="111" t="s">
        <v>113</v>
      </c>
      <c r="P5" s="101" t="s">
        <v>114</v>
      </c>
      <c r="Q5" s="69" t="s">
        <v>114</v>
      </c>
      <c r="R5" s="111" t="s">
        <v>115</v>
      </c>
      <c r="S5" s="63" t="s">
        <v>116</v>
      </c>
      <c r="T5" s="95" t="s">
        <v>119</v>
      </c>
      <c r="U5" s="101" t="s">
        <v>104</v>
      </c>
      <c r="V5" s="69" t="s">
        <v>107</v>
      </c>
      <c r="W5" s="69" t="s">
        <v>110</v>
      </c>
      <c r="X5" s="69" t="s">
        <v>112</v>
      </c>
      <c r="Y5" s="69" t="s">
        <v>114</v>
      </c>
      <c r="Z5" s="83" t="s">
        <v>119</v>
      </c>
      <c r="AA5" s="104" t="s">
        <v>120</v>
      </c>
      <c r="AB5" s="105" t="s">
        <v>121</v>
      </c>
      <c r="AC5" s="83" t="s">
        <v>122</v>
      </c>
      <c r="AD5" s="61"/>
      <c r="AE5" s="55"/>
      <c r="AF5" s="58"/>
    </row>
    <row r="6" spans="1:33" ht="15" customHeight="1">
      <c r="A6" s="5"/>
      <c r="B6" s="38"/>
      <c r="C6" s="6"/>
      <c r="D6" s="99"/>
      <c r="E6" s="67"/>
      <c r="F6" s="109"/>
      <c r="G6" s="102"/>
      <c r="H6" s="67"/>
      <c r="I6" s="112"/>
      <c r="J6" s="64"/>
      <c r="K6" s="67"/>
      <c r="L6" s="109"/>
      <c r="M6" s="102"/>
      <c r="N6" s="67"/>
      <c r="O6" s="112"/>
      <c r="P6" s="102"/>
      <c r="Q6" s="67"/>
      <c r="R6" s="112"/>
      <c r="S6" s="64"/>
      <c r="T6" s="96"/>
      <c r="U6" s="102"/>
      <c r="V6" s="67"/>
      <c r="W6" s="67"/>
      <c r="X6" s="67"/>
      <c r="Y6" s="67"/>
      <c r="Z6" s="76"/>
      <c r="AA6" s="104"/>
      <c r="AB6" s="106"/>
      <c r="AC6" s="76"/>
      <c r="AD6" s="61"/>
      <c r="AE6" s="55"/>
      <c r="AF6" s="58"/>
    </row>
    <row r="7" spans="1:33" ht="15" customHeight="1">
      <c r="A7" s="11" t="s">
        <v>23</v>
      </c>
      <c r="B7" s="39" t="s">
        <v>24</v>
      </c>
      <c r="C7" s="12" t="s">
        <v>25</v>
      </c>
      <c r="D7" s="100"/>
      <c r="E7" s="68"/>
      <c r="F7" s="110"/>
      <c r="G7" s="103"/>
      <c r="H7" s="68"/>
      <c r="I7" s="113"/>
      <c r="J7" s="65"/>
      <c r="K7" s="68"/>
      <c r="L7" s="110"/>
      <c r="M7" s="103"/>
      <c r="N7" s="68"/>
      <c r="O7" s="113"/>
      <c r="P7" s="103"/>
      <c r="Q7" s="68"/>
      <c r="R7" s="113"/>
      <c r="S7" s="65"/>
      <c r="T7" s="97"/>
      <c r="U7" s="103"/>
      <c r="V7" s="68"/>
      <c r="W7" s="68"/>
      <c r="X7" s="68"/>
      <c r="Y7" s="68"/>
      <c r="Z7" s="77"/>
      <c r="AA7" s="104"/>
      <c r="AB7" s="107"/>
      <c r="AC7" s="77"/>
      <c r="AD7" s="62"/>
      <c r="AE7" s="56"/>
      <c r="AF7" s="59"/>
    </row>
    <row r="8" spans="1:33" ht="15" customHeight="1">
      <c r="A8" s="13">
        <v>1</v>
      </c>
      <c r="B8" s="40">
        <v>2001731443</v>
      </c>
      <c r="C8" s="35" t="s">
        <v>205</v>
      </c>
      <c r="D8" s="25">
        <v>0</v>
      </c>
      <c r="E8" s="25">
        <v>0</v>
      </c>
      <c r="F8" s="26">
        <v>0</v>
      </c>
      <c r="G8" s="2">
        <v>5</v>
      </c>
      <c r="H8" s="3">
        <v>5</v>
      </c>
      <c r="I8" s="44">
        <v>0</v>
      </c>
      <c r="J8" s="25">
        <v>0</v>
      </c>
      <c r="K8" s="3">
        <v>5</v>
      </c>
      <c r="L8" s="1"/>
      <c r="M8" s="2"/>
      <c r="N8" s="3"/>
      <c r="O8" s="44"/>
      <c r="P8" s="2"/>
      <c r="Q8" s="3"/>
      <c r="R8" s="44"/>
      <c r="S8" s="25"/>
      <c r="T8" s="43">
        <f>AVERAGE(D8:S8)/2</f>
        <v>0.9375</v>
      </c>
      <c r="U8" s="2"/>
      <c r="V8" s="26"/>
      <c r="W8" s="3"/>
      <c r="X8" s="26"/>
      <c r="Y8" s="1"/>
      <c r="Z8" s="22" t="e">
        <f>AVERAGE(U8:Y8)*3/10</f>
        <v>#DIV/0!</v>
      </c>
      <c r="AA8" s="1"/>
      <c r="AB8" s="1"/>
      <c r="AC8" s="22" t="e">
        <f>AVERAGE(AA8:AB8)/5</f>
        <v>#DIV/0!</v>
      </c>
      <c r="AD8" s="23" t="e">
        <f>SUM(AC8,Z8,T8)</f>
        <v>#DIV/0!</v>
      </c>
      <c r="AE8" s="4"/>
      <c r="AF8" s="2"/>
      <c r="AG8" s="46">
        <v>2</v>
      </c>
    </row>
    <row r="9" spans="1:33" ht="15" customHeight="1">
      <c r="A9" s="13">
        <v>2</v>
      </c>
      <c r="B9" s="40">
        <v>2501902574</v>
      </c>
      <c r="C9" s="35" t="s">
        <v>206</v>
      </c>
      <c r="D9" s="25">
        <v>10</v>
      </c>
      <c r="E9" s="25">
        <v>10</v>
      </c>
      <c r="F9" s="26">
        <v>10</v>
      </c>
      <c r="G9" s="2">
        <v>10</v>
      </c>
      <c r="H9" s="3">
        <v>10</v>
      </c>
      <c r="I9" s="44">
        <v>10</v>
      </c>
      <c r="J9" s="25">
        <v>10</v>
      </c>
      <c r="K9" s="3">
        <v>10</v>
      </c>
      <c r="L9" s="1"/>
      <c r="M9" s="2"/>
      <c r="N9" s="3"/>
      <c r="O9" s="44"/>
      <c r="P9" s="2"/>
      <c r="Q9" s="3"/>
      <c r="R9" s="44"/>
      <c r="S9" s="25"/>
      <c r="T9" s="43">
        <f t="shared" ref="T9:T35" si="0">AVERAGE(D9:S9)/2</f>
        <v>5</v>
      </c>
      <c r="U9" s="2"/>
      <c r="V9" s="26"/>
      <c r="W9" s="3"/>
      <c r="X9" s="26"/>
      <c r="Y9" s="1"/>
      <c r="Z9" s="22" t="e">
        <f t="shared" ref="Z9:Z35" si="1">AVERAGE(U9:Y9)/3.33</f>
        <v>#DIV/0!</v>
      </c>
      <c r="AA9" s="1"/>
      <c r="AB9" s="1"/>
      <c r="AC9" s="22" t="e">
        <f t="shared" ref="AC9:AC35" si="2">AVERAGE(AA9:AB9)/5</f>
        <v>#DIV/0!</v>
      </c>
      <c r="AD9" s="23" t="e">
        <f t="shared" ref="AD9:AD35" si="3">SUM(AC9,Z9,T9)</f>
        <v>#DIV/0!</v>
      </c>
      <c r="AE9" s="4"/>
      <c r="AF9" s="2"/>
      <c r="AG9" s="46">
        <v>1.8</v>
      </c>
    </row>
    <row r="10" spans="1:33" ht="15" customHeight="1">
      <c r="A10" s="13">
        <v>3</v>
      </c>
      <c r="B10" s="40">
        <v>2301833547</v>
      </c>
      <c r="C10" s="35" t="s">
        <v>207</v>
      </c>
      <c r="D10" s="25">
        <v>10</v>
      </c>
      <c r="E10" s="25">
        <v>10</v>
      </c>
      <c r="F10" s="26">
        <v>10</v>
      </c>
      <c r="G10" s="2">
        <v>10</v>
      </c>
      <c r="H10" s="3">
        <v>10</v>
      </c>
      <c r="I10" s="44">
        <v>10</v>
      </c>
      <c r="J10" s="25">
        <v>10</v>
      </c>
      <c r="K10" s="3">
        <v>10</v>
      </c>
      <c r="L10" s="1"/>
      <c r="M10" s="2"/>
      <c r="N10" s="3"/>
      <c r="O10" s="44"/>
      <c r="P10" s="2"/>
      <c r="Q10" s="3"/>
      <c r="R10" s="44"/>
      <c r="S10" s="25"/>
      <c r="T10" s="43">
        <f t="shared" si="0"/>
        <v>5</v>
      </c>
      <c r="U10" s="2"/>
      <c r="V10" s="26"/>
      <c r="W10" s="3"/>
      <c r="X10" s="26"/>
      <c r="Y10" s="1"/>
      <c r="Z10" s="22" t="e">
        <f t="shared" si="1"/>
        <v>#DIV/0!</v>
      </c>
      <c r="AA10" s="1"/>
      <c r="AB10" s="1"/>
      <c r="AC10" s="22" t="e">
        <f t="shared" si="2"/>
        <v>#DIV/0!</v>
      </c>
      <c r="AD10" s="23" t="e">
        <f t="shared" si="3"/>
        <v>#DIV/0!</v>
      </c>
      <c r="AE10" s="4"/>
      <c r="AF10" s="2"/>
      <c r="AG10" s="46">
        <v>2</v>
      </c>
    </row>
    <row r="11" spans="1:33" ht="15" customHeight="1">
      <c r="A11" s="13">
        <v>4</v>
      </c>
      <c r="B11" s="40">
        <v>2301833498</v>
      </c>
      <c r="C11" s="35" t="s">
        <v>208</v>
      </c>
      <c r="D11" s="25">
        <v>10</v>
      </c>
      <c r="E11" s="25">
        <v>10</v>
      </c>
      <c r="F11" s="26">
        <v>10</v>
      </c>
      <c r="G11" s="2">
        <v>10</v>
      </c>
      <c r="H11" s="3">
        <v>10</v>
      </c>
      <c r="I11" s="44">
        <v>10</v>
      </c>
      <c r="J11" s="25">
        <v>0</v>
      </c>
      <c r="K11" s="3">
        <v>10</v>
      </c>
      <c r="L11" s="1"/>
      <c r="M11" s="2"/>
      <c r="N11" s="3"/>
      <c r="O11" s="44"/>
      <c r="P11" s="2"/>
      <c r="Q11" s="3"/>
      <c r="R11" s="44"/>
      <c r="S11" s="25"/>
      <c r="T11" s="43">
        <f t="shared" si="0"/>
        <v>4.375</v>
      </c>
      <c r="U11" s="2"/>
      <c r="V11" s="26"/>
      <c r="W11" s="3"/>
      <c r="X11" s="26"/>
      <c r="Y11" s="1"/>
      <c r="Z11" s="22" t="e">
        <f t="shared" si="1"/>
        <v>#DIV/0!</v>
      </c>
      <c r="AA11" s="1"/>
      <c r="AB11" s="1"/>
      <c r="AC11" s="22" t="e">
        <f t="shared" si="2"/>
        <v>#DIV/0!</v>
      </c>
      <c r="AD11" s="23" t="e">
        <f t="shared" si="3"/>
        <v>#DIV/0!</v>
      </c>
      <c r="AE11" s="4"/>
      <c r="AF11" s="2"/>
      <c r="AG11" s="46">
        <v>1.6</v>
      </c>
    </row>
    <row r="12" spans="1:33" ht="15" customHeight="1">
      <c r="A12" s="13">
        <v>5</v>
      </c>
      <c r="B12" s="40">
        <v>1701590499</v>
      </c>
      <c r="C12" s="35" t="s">
        <v>209</v>
      </c>
      <c r="D12" s="25">
        <v>10</v>
      </c>
      <c r="E12" s="25">
        <v>10</v>
      </c>
      <c r="F12" s="26">
        <v>10</v>
      </c>
      <c r="G12" s="2">
        <v>10</v>
      </c>
      <c r="H12" s="3">
        <v>10</v>
      </c>
      <c r="I12" s="44">
        <v>10</v>
      </c>
      <c r="J12" s="25">
        <v>10</v>
      </c>
      <c r="K12" s="3">
        <v>10</v>
      </c>
      <c r="L12" s="1"/>
      <c r="M12" s="2"/>
      <c r="N12" s="3"/>
      <c r="O12" s="44"/>
      <c r="P12" s="2"/>
      <c r="Q12" s="3"/>
      <c r="R12" s="44"/>
      <c r="S12" s="25"/>
      <c r="T12" s="43">
        <f t="shared" si="0"/>
        <v>5</v>
      </c>
      <c r="U12" s="2"/>
      <c r="V12" s="26"/>
      <c r="W12" s="3"/>
      <c r="X12" s="26"/>
      <c r="Y12" s="1"/>
      <c r="Z12" s="22" t="e">
        <f t="shared" si="1"/>
        <v>#DIV/0!</v>
      </c>
      <c r="AA12" s="1"/>
      <c r="AB12" s="1"/>
      <c r="AC12" s="22" t="e">
        <f t="shared" si="2"/>
        <v>#DIV/0!</v>
      </c>
      <c r="AD12" s="23" t="e">
        <f t="shared" si="3"/>
        <v>#DIV/0!</v>
      </c>
      <c r="AE12" s="4"/>
      <c r="AF12" s="2"/>
      <c r="AG12" s="46">
        <v>1.8</v>
      </c>
    </row>
    <row r="13" spans="1:33" ht="15" customHeight="1">
      <c r="A13" s="13">
        <v>6</v>
      </c>
      <c r="B13" s="40">
        <v>2501902445</v>
      </c>
      <c r="C13" s="35" t="s">
        <v>210</v>
      </c>
      <c r="D13" s="25">
        <v>10</v>
      </c>
      <c r="E13" s="25">
        <v>10</v>
      </c>
      <c r="F13" s="26">
        <v>10</v>
      </c>
      <c r="G13" s="2">
        <v>10</v>
      </c>
      <c r="H13" s="3">
        <v>10</v>
      </c>
      <c r="I13" s="44">
        <v>10</v>
      </c>
      <c r="J13" s="25">
        <v>10</v>
      </c>
      <c r="K13" s="3">
        <v>10</v>
      </c>
      <c r="L13" s="1"/>
      <c r="M13" s="2"/>
      <c r="N13" s="3"/>
      <c r="O13" s="44"/>
      <c r="P13" s="2"/>
      <c r="Q13" s="3"/>
      <c r="R13" s="44"/>
      <c r="S13" s="25"/>
      <c r="T13" s="43">
        <f t="shared" si="0"/>
        <v>5</v>
      </c>
      <c r="U13" s="2"/>
      <c r="V13" s="26"/>
      <c r="W13" s="3"/>
      <c r="X13" s="26"/>
      <c r="Y13" s="1"/>
      <c r="Z13" s="22" t="e">
        <f t="shared" si="1"/>
        <v>#DIV/0!</v>
      </c>
      <c r="AA13" s="1"/>
      <c r="AB13" s="1"/>
      <c r="AC13" s="22" t="e">
        <f t="shared" si="2"/>
        <v>#DIV/0!</v>
      </c>
      <c r="AD13" s="23" t="e">
        <f t="shared" si="3"/>
        <v>#DIV/0!</v>
      </c>
      <c r="AE13" s="4"/>
      <c r="AF13" s="2"/>
      <c r="AG13" s="46">
        <v>2</v>
      </c>
    </row>
    <row r="14" spans="1:33" ht="15" customHeight="1">
      <c r="A14" s="13">
        <v>7</v>
      </c>
      <c r="B14" s="40">
        <v>2001759208</v>
      </c>
      <c r="C14" s="35" t="s">
        <v>211</v>
      </c>
      <c r="D14" s="25">
        <v>10</v>
      </c>
      <c r="E14" s="25">
        <v>10</v>
      </c>
      <c r="F14" s="26">
        <v>0</v>
      </c>
      <c r="G14" s="2">
        <v>10</v>
      </c>
      <c r="H14" s="3">
        <v>10</v>
      </c>
      <c r="I14" s="44">
        <v>10</v>
      </c>
      <c r="J14" s="25">
        <v>0</v>
      </c>
      <c r="K14" s="3">
        <v>0</v>
      </c>
      <c r="L14" s="1"/>
      <c r="M14" s="2"/>
      <c r="N14" s="3"/>
      <c r="O14" s="44"/>
      <c r="P14" s="2"/>
      <c r="Q14" s="3"/>
      <c r="R14" s="44"/>
      <c r="S14" s="25"/>
      <c r="T14" s="43">
        <f t="shared" si="0"/>
        <v>3.125</v>
      </c>
      <c r="U14" s="2"/>
      <c r="V14" s="26"/>
      <c r="W14" s="3"/>
      <c r="X14" s="26"/>
      <c r="Y14" s="1"/>
      <c r="Z14" s="22" t="e">
        <f t="shared" si="1"/>
        <v>#DIV/0!</v>
      </c>
      <c r="AA14" s="1"/>
      <c r="AB14" s="1"/>
      <c r="AC14" s="22" t="e">
        <f t="shared" si="2"/>
        <v>#DIV/0!</v>
      </c>
      <c r="AD14" s="23" t="e">
        <f t="shared" si="3"/>
        <v>#DIV/0!</v>
      </c>
      <c r="AE14" s="4"/>
      <c r="AF14" s="2"/>
      <c r="AG14" s="46">
        <v>2</v>
      </c>
    </row>
    <row r="15" spans="1:33" ht="15" customHeight="1">
      <c r="A15" s="13">
        <v>8</v>
      </c>
      <c r="B15" s="40">
        <v>1701576125</v>
      </c>
      <c r="C15" s="35" t="s">
        <v>212</v>
      </c>
      <c r="D15" s="25">
        <v>10</v>
      </c>
      <c r="E15" s="25">
        <v>10</v>
      </c>
      <c r="F15" s="26">
        <v>10</v>
      </c>
      <c r="G15" s="2">
        <v>10</v>
      </c>
      <c r="H15" s="3">
        <v>10</v>
      </c>
      <c r="I15" s="44">
        <v>5</v>
      </c>
      <c r="J15" s="25">
        <v>0</v>
      </c>
      <c r="K15" s="3">
        <v>0</v>
      </c>
      <c r="L15" s="1"/>
      <c r="M15" s="2"/>
      <c r="N15" s="3"/>
      <c r="O15" s="44"/>
      <c r="P15" s="2"/>
      <c r="Q15" s="3"/>
      <c r="R15" s="44"/>
      <c r="S15" s="25"/>
      <c r="T15" s="43">
        <f t="shared" si="0"/>
        <v>3.4375</v>
      </c>
      <c r="U15" s="2"/>
      <c r="V15" s="26"/>
      <c r="W15" s="3"/>
      <c r="X15" s="26"/>
      <c r="Y15" s="1"/>
      <c r="Z15" s="22" t="e">
        <f t="shared" si="1"/>
        <v>#DIV/0!</v>
      </c>
      <c r="AA15" s="1"/>
      <c r="AB15" s="1"/>
      <c r="AC15" s="22" t="e">
        <f t="shared" si="2"/>
        <v>#DIV/0!</v>
      </c>
      <c r="AD15" s="23" t="e">
        <f t="shared" si="3"/>
        <v>#DIV/0!</v>
      </c>
      <c r="AE15" s="4"/>
      <c r="AF15" s="2"/>
      <c r="AG15" s="46">
        <v>2</v>
      </c>
    </row>
    <row r="16" spans="1:33" ht="15" customHeight="1">
      <c r="A16" s="13">
        <v>9</v>
      </c>
      <c r="B16" s="40">
        <v>202300112</v>
      </c>
      <c r="C16" s="35" t="s">
        <v>213</v>
      </c>
      <c r="D16" s="25">
        <v>10</v>
      </c>
      <c r="E16" s="25">
        <v>10</v>
      </c>
      <c r="F16" s="26">
        <v>10</v>
      </c>
      <c r="G16" s="2">
        <v>10</v>
      </c>
      <c r="H16" s="3">
        <v>10</v>
      </c>
      <c r="I16" s="44" t="s">
        <v>31</v>
      </c>
      <c r="J16" s="25" t="s">
        <v>31</v>
      </c>
      <c r="K16" s="3" t="s">
        <v>31</v>
      </c>
      <c r="L16" s="1"/>
      <c r="M16" s="2"/>
      <c r="N16" s="3"/>
      <c r="O16" s="44"/>
      <c r="P16" s="2"/>
      <c r="Q16" s="3"/>
      <c r="R16" s="44"/>
      <c r="S16" s="25"/>
      <c r="T16" s="43">
        <f t="shared" si="0"/>
        <v>5</v>
      </c>
      <c r="U16" s="2"/>
      <c r="V16" s="26"/>
      <c r="W16" s="3"/>
      <c r="X16" s="26"/>
      <c r="Y16" s="1"/>
      <c r="Z16" s="22" t="e">
        <f t="shared" si="1"/>
        <v>#DIV/0!</v>
      </c>
      <c r="AA16" s="1"/>
      <c r="AB16" s="1"/>
      <c r="AC16" s="22" t="e">
        <f t="shared" si="2"/>
        <v>#DIV/0!</v>
      </c>
      <c r="AD16" s="23" t="e">
        <f t="shared" si="3"/>
        <v>#DIV/0!</v>
      </c>
      <c r="AE16" s="4"/>
      <c r="AF16" s="2"/>
      <c r="AG16" s="46">
        <v>1.8</v>
      </c>
    </row>
    <row r="17" spans="1:33" ht="15" customHeight="1">
      <c r="A17" s="13">
        <v>10</v>
      </c>
      <c r="B17" s="40">
        <v>1701576247</v>
      </c>
      <c r="C17" s="35" t="s">
        <v>214</v>
      </c>
      <c r="D17" s="25">
        <v>0</v>
      </c>
      <c r="E17" s="25">
        <v>0</v>
      </c>
      <c r="F17" s="26">
        <v>10</v>
      </c>
      <c r="G17" s="2">
        <v>0</v>
      </c>
      <c r="H17" s="3">
        <v>0</v>
      </c>
      <c r="I17" s="44">
        <v>10</v>
      </c>
      <c r="J17" s="25">
        <v>0</v>
      </c>
      <c r="K17" s="3">
        <v>0</v>
      </c>
      <c r="L17" s="1"/>
      <c r="M17" s="2"/>
      <c r="N17" s="3"/>
      <c r="O17" s="44"/>
      <c r="P17" s="2"/>
      <c r="Q17" s="3"/>
      <c r="R17" s="44"/>
      <c r="S17" s="25"/>
      <c r="T17" s="43">
        <f t="shared" si="0"/>
        <v>1.25</v>
      </c>
      <c r="U17" s="2"/>
      <c r="V17" s="26"/>
      <c r="W17" s="3"/>
      <c r="X17" s="26"/>
      <c r="Y17" s="1"/>
      <c r="Z17" s="22" t="e">
        <f t="shared" si="1"/>
        <v>#DIV/0!</v>
      </c>
      <c r="AA17" s="1"/>
      <c r="AB17" s="1"/>
      <c r="AC17" s="22" t="e">
        <f t="shared" si="2"/>
        <v>#DIV/0!</v>
      </c>
      <c r="AD17" s="23" t="e">
        <f t="shared" si="3"/>
        <v>#DIV/0!</v>
      </c>
      <c r="AE17" s="4"/>
      <c r="AF17" s="2"/>
      <c r="AG17" s="46">
        <v>2</v>
      </c>
    </row>
    <row r="18" spans="1:33" ht="15" customHeight="1">
      <c r="A18" s="13">
        <v>11</v>
      </c>
      <c r="B18" s="40">
        <v>1701590985</v>
      </c>
      <c r="C18" s="35" t="s">
        <v>215</v>
      </c>
      <c r="D18" s="25">
        <v>10</v>
      </c>
      <c r="E18" s="25">
        <v>10</v>
      </c>
      <c r="F18" s="26">
        <v>10</v>
      </c>
      <c r="G18" s="2">
        <v>10</v>
      </c>
      <c r="H18" s="3">
        <v>10</v>
      </c>
      <c r="I18" s="44">
        <v>0</v>
      </c>
      <c r="J18" s="25">
        <v>10</v>
      </c>
      <c r="K18" s="3">
        <v>10</v>
      </c>
      <c r="L18" s="1"/>
      <c r="M18" s="2"/>
      <c r="N18" s="3"/>
      <c r="O18" s="44"/>
      <c r="P18" s="2"/>
      <c r="Q18" s="3"/>
      <c r="R18" s="44"/>
      <c r="S18" s="25"/>
      <c r="T18" s="43">
        <f t="shared" si="0"/>
        <v>4.375</v>
      </c>
      <c r="U18" s="2"/>
      <c r="V18" s="26"/>
      <c r="W18" s="3"/>
      <c r="X18" s="26"/>
      <c r="Y18" s="1"/>
      <c r="Z18" s="22" t="e">
        <f t="shared" si="1"/>
        <v>#DIV/0!</v>
      </c>
      <c r="AA18" s="1"/>
      <c r="AB18" s="1"/>
      <c r="AC18" s="22" t="e">
        <f t="shared" si="2"/>
        <v>#DIV/0!</v>
      </c>
      <c r="AD18" s="23" t="e">
        <f t="shared" si="3"/>
        <v>#DIV/0!</v>
      </c>
      <c r="AE18" s="4"/>
      <c r="AF18" s="2"/>
      <c r="AG18" s="46">
        <v>2</v>
      </c>
    </row>
    <row r="19" spans="1:33" ht="15" customHeight="1">
      <c r="A19" s="13">
        <v>12</v>
      </c>
      <c r="B19" s="40">
        <v>1728002</v>
      </c>
      <c r="C19" s="35" t="s">
        <v>216</v>
      </c>
      <c r="D19" s="1">
        <v>10</v>
      </c>
      <c r="E19" s="1">
        <v>10</v>
      </c>
      <c r="F19" s="1">
        <v>0</v>
      </c>
      <c r="G19" s="45">
        <v>10</v>
      </c>
      <c r="H19" s="1">
        <v>10</v>
      </c>
      <c r="I19" s="44">
        <v>10</v>
      </c>
      <c r="J19" s="26">
        <v>0</v>
      </c>
      <c r="K19" s="1">
        <v>0</v>
      </c>
      <c r="L19" s="1"/>
      <c r="M19" s="45"/>
      <c r="N19" s="1"/>
      <c r="O19" s="44"/>
      <c r="P19" s="45"/>
      <c r="Q19" s="1"/>
      <c r="R19" s="44"/>
      <c r="S19" s="26"/>
      <c r="T19" s="43">
        <f t="shared" si="0"/>
        <v>3.125</v>
      </c>
      <c r="U19" s="2"/>
      <c r="V19" s="26"/>
      <c r="W19" s="3"/>
      <c r="X19" s="26"/>
      <c r="Y19" s="1"/>
      <c r="Z19" s="22" t="e">
        <f t="shared" si="1"/>
        <v>#DIV/0!</v>
      </c>
      <c r="AA19" s="1"/>
      <c r="AB19" s="1"/>
      <c r="AC19" s="22" t="e">
        <f t="shared" si="2"/>
        <v>#DIV/0!</v>
      </c>
      <c r="AD19" s="23" t="e">
        <f t="shared" si="3"/>
        <v>#DIV/0!</v>
      </c>
      <c r="AE19" s="4"/>
      <c r="AF19" s="2"/>
      <c r="AG19" s="46"/>
    </row>
    <row r="20" spans="1:33" ht="15" customHeight="1">
      <c r="A20" s="13">
        <v>13</v>
      </c>
      <c r="B20" s="40">
        <v>2601915330</v>
      </c>
      <c r="C20" s="35" t="s">
        <v>217</v>
      </c>
      <c r="D20" s="25" t="s">
        <v>31</v>
      </c>
      <c r="E20" s="25" t="s">
        <v>31</v>
      </c>
      <c r="F20" s="26">
        <v>0</v>
      </c>
      <c r="G20" s="2" t="s">
        <v>31</v>
      </c>
      <c r="H20" s="3" t="s">
        <v>31</v>
      </c>
      <c r="I20" s="44" t="s">
        <v>31</v>
      </c>
      <c r="J20" s="25" t="s">
        <v>31</v>
      </c>
      <c r="K20" s="3" t="s">
        <v>31</v>
      </c>
      <c r="L20" s="1"/>
      <c r="M20" s="2"/>
      <c r="N20" s="3"/>
      <c r="O20" s="44"/>
      <c r="P20" s="2"/>
      <c r="Q20" s="3"/>
      <c r="R20" s="44"/>
      <c r="S20" s="25"/>
      <c r="T20" s="43">
        <f t="shared" si="0"/>
        <v>0</v>
      </c>
      <c r="U20" s="2"/>
      <c r="V20" s="26"/>
      <c r="W20" s="3"/>
      <c r="X20" s="26"/>
      <c r="Y20" s="1"/>
      <c r="Z20" s="22" t="e">
        <f t="shared" si="1"/>
        <v>#DIV/0!</v>
      </c>
      <c r="AA20" s="1"/>
      <c r="AB20" s="1"/>
      <c r="AC20" s="22" t="e">
        <f t="shared" si="2"/>
        <v>#DIV/0!</v>
      </c>
      <c r="AD20" s="23" t="e">
        <f t="shared" si="3"/>
        <v>#DIV/0!</v>
      </c>
      <c r="AE20" s="4"/>
      <c r="AF20" s="2"/>
      <c r="AG20" s="46"/>
    </row>
    <row r="21" spans="1:33" ht="15" customHeight="1">
      <c r="A21" s="13">
        <v>14</v>
      </c>
      <c r="B21" s="40">
        <v>1701590789</v>
      </c>
      <c r="C21" s="35" t="s">
        <v>218</v>
      </c>
      <c r="D21" s="25">
        <v>10</v>
      </c>
      <c r="E21" s="25">
        <v>10</v>
      </c>
      <c r="F21" s="26">
        <v>10</v>
      </c>
      <c r="G21" s="2">
        <v>10</v>
      </c>
      <c r="H21" s="3">
        <v>10</v>
      </c>
      <c r="I21" s="44">
        <v>10</v>
      </c>
      <c r="J21" s="25">
        <v>10</v>
      </c>
      <c r="K21" s="3">
        <v>10</v>
      </c>
      <c r="L21" s="1"/>
      <c r="M21" s="2"/>
      <c r="N21" s="3"/>
      <c r="O21" s="44"/>
      <c r="P21" s="2"/>
      <c r="Q21" s="3"/>
      <c r="R21" s="44"/>
      <c r="S21" s="25"/>
      <c r="T21" s="43">
        <f t="shared" si="0"/>
        <v>5</v>
      </c>
      <c r="U21" s="2"/>
      <c r="V21" s="26"/>
      <c r="W21" s="3"/>
      <c r="X21" s="26"/>
      <c r="Y21" s="1"/>
      <c r="Z21" s="22" t="e">
        <f t="shared" si="1"/>
        <v>#DIV/0!</v>
      </c>
      <c r="AA21" s="1"/>
      <c r="AB21" s="1"/>
      <c r="AC21" s="22" t="e">
        <f t="shared" si="2"/>
        <v>#DIV/0!</v>
      </c>
      <c r="AD21" s="23" t="e">
        <f t="shared" si="3"/>
        <v>#DIV/0!</v>
      </c>
      <c r="AE21" s="4"/>
      <c r="AF21" s="2"/>
      <c r="AG21" s="46">
        <v>2</v>
      </c>
    </row>
    <row r="22" spans="1:33" ht="15" customHeight="1">
      <c r="A22" s="13">
        <v>15</v>
      </c>
      <c r="B22" s="40">
        <v>1701576257</v>
      </c>
      <c r="C22" s="35" t="s">
        <v>219</v>
      </c>
      <c r="D22" s="25">
        <v>10</v>
      </c>
      <c r="E22" s="25">
        <v>10</v>
      </c>
      <c r="F22" s="26">
        <v>10</v>
      </c>
      <c r="G22" s="2">
        <v>10</v>
      </c>
      <c r="H22" s="3">
        <v>10</v>
      </c>
      <c r="I22" s="44">
        <v>10</v>
      </c>
      <c r="J22" s="25">
        <v>10</v>
      </c>
      <c r="K22" s="3">
        <v>10</v>
      </c>
      <c r="L22" s="1"/>
      <c r="M22" s="2"/>
      <c r="N22" s="3"/>
      <c r="O22" s="44"/>
      <c r="P22" s="2"/>
      <c r="Q22" s="3"/>
      <c r="R22" s="44"/>
      <c r="S22" s="25"/>
      <c r="T22" s="43">
        <f t="shared" si="0"/>
        <v>5</v>
      </c>
      <c r="U22" s="2"/>
      <c r="V22" s="26"/>
      <c r="W22" s="3"/>
      <c r="X22" s="26"/>
      <c r="Y22" s="1"/>
      <c r="Z22" s="22" t="e">
        <f t="shared" si="1"/>
        <v>#DIV/0!</v>
      </c>
      <c r="AA22" s="1"/>
      <c r="AB22" s="1"/>
      <c r="AC22" s="22" t="e">
        <f t="shared" si="2"/>
        <v>#DIV/0!</v>
      </c>
      <c r="AD22" s="23" t="e">
        <f t="shared" si="3"/>
        <v>#DIV/0!</v>
      </c>
      <c r="AE22" s="4"/>
      <c r="AF22" s="2"/>
      <c r="AG22" s="46">
        <v>2</v>
      </c>
    </row>
    <row r="23" spans="1:33" ht="15" customHeight="1">
      <c r="A23" s="13">
        <v>16</v>
      </c>
      <c r="B23" s="40">
        <v>2001729240</v>
      </c>
      <c r="C23" s="35" t="s">
        <v>220</v>
      </c>
      <c r="D23" s="25">
        <v>0</v>
      </c>
      <c r="E23" s="25">
        <v>0</v>
      </c>
      <c r="F23" s="26">
        <v>0</v>
      </c>
      <c r="G23" s="2">
        <v>5</v>
      </c>
      <c r="H23" s="3">
        <v>10</v>
      </c>
      <c r="I23" s="44">
        <v>0</v>
      </c>
      <c r="J23" s="25">
        <v>0</v>
      </c>
      <c r="K23" s="3">
        <v>0</v>
      </c>
      <c r="L23" s="1"/>
      <c r="M23" s="2"/>
      <c r="N23" s="3"/>
      <c r="O23" s="44"/>
      <c r="P23" s="2"/>
      <c r="Q23" s="3"/>
      <c r="R23" s="44"/>
      <c r="S23" s="25"/>
      <c r="T23" s="43">
        <f t="shared" si="0"/>
        <v>0.9375</v>
      </c>
      <c r="U23" s="2"/>
      <c r="V23" s="26"/>
      <c r="W23" s="3"/>
      <c r="X23" s="26"/>
      <c r="Y23" s="1"/>
      <c r="Z23" s="22" t="e">
        <f t="shared" si="1"/>
        <v>#DIV/0!</v>
      </c>
      <c r="AA23" s="1"/>
      <c r="AB23" s="1"/>
      <c r="AC23" s="22" t="e">
        <f t="shared" si="2"/>
        <v>#DIV/0!</v>
      </c>
      <c r="AD23" s="23" t="e">
        <f t="shared" si="3"/>
        <v>#DIV/0!</v>
      </c>
      <c r="AE23" s="4"/>
      <c r="AF23" s="2"/>
      <c r="AG23" s="46">
        <v>1.8</v>
      </c>
    </row>
    <row r="24" spans="1:33" ht="15" customHeight="1">
      <c r="A24" s="13">
        <v>17</v>
      </c>
      <c r="B24" s="40">
        <v>2501902678</v>
      </c>
      <c r="C24" s="35" t="s">
        <v>221</v>
      </c>
      <c r="D24" s="25">
        <v>10</v>
      </c>
      <c r="E24" s="25">
        <v>10</v>
      </c>
      <c r="F24" s="26">
        <v>10</v>
      </c>
      <c r="G24" s="2">
        <v>10</v>
      </c>
      <c r="H24" s="3">
        <v>10</v>
      </c>
      <c r="I24" s="44">
        <v>10</v>
      </c>
      <c r="J24" s="25">
        <v>0</v>
      </c>
      <c r="K24" s="3">
        <v>10</v>
      </c>
      <c r="L24" s="1"/>
      <c r="M24" s="2"/>
      <c r="N24" s="3"/>
      <c r="O24" s="44"/>
      <c r="P24" s="2"/>
      <c r="Q24" s="3"/>
      <c r="R24" s="44"/>
      <c r="S24" s="25"/>
      <c r="T24" s="43">
        <f t="shared" si="0"/>
        <v>4.375</v>
      </c>
      <c r="U24" s="2"/>
      <c r="V24" s="26"/>
      <c r="W24" s="3"/>
      <c r="X24" s="26"/>
      <c r="Y24" s="1"/>
      <c r="Z24" s="22" t="e">
        <f t="shared" si="1"/>
        <v>#DIV/0!</v>
      </c>
      <c r="AA24" s="1"/>
      <c r="AB24" s="1"/>
      <c r="AC24" s="22" t="e">
        <f t="shared" si="2"/>
        <v>#DIV/0!</v>
      </c>
      <c r="AD24" s="23" t="e">
        <f t="shared" si="3"/>
        <v>#DIV/0!</v>
      </c>
      <c r="AE24" s="4"/>
      <c r="AF24" s="2"/>
      <c r="AG24" s="46">
        <v>0</v>
      </c>
    </row>
    <row r="25" spans="1:33" ht="15" customHeight="1">
      <c r="A25" s="13">
        <v>18</v>
      </c>
      <c r="B25" s="40">
        <v>1727672</v>
      </c>
      <c r="C25" s="35" t="s">
        <v>222</v>
      </c>
      <c r="D25" s="25">
        <v>10</v>
      </c>
      <c r="E25" s="25">
        <v>10</v>
      </c>
      <c r="F25" s="26">
        <v>10</v>
      </c>
      <c r="G25" s="2">
        <v>10</v>
      </c>
      <c r="H25" s="3">
        <v>10</v>
      </c>
      <c r="I25" s="44">
        <v>10</v>
      </c>
      <c r="J25" s="25">
        <v>5</v>
      </c>
      <c r="K25" s="3">
        <v>0</v>
      </c>
      <c r="L25" s="1"/>
      <c r="M25" s="2"/>
      <c r="N25" s="3"/>
      <c r="O25" s="44"/>
      <c r="P25" s="2"/>
      <c r="Q25" s="3"/>
      <c r="R25" s="44"/>
      <c r="S25" s="25"/>
      <c r="T25" s="43">
        <f t="shared" si="0"/>
        <v>4.0625</v>
      </c>
      <c r="U25" s="2"/>
      <c r="V25" s="26"/>
      <c r="W25" s="3"/>
      <c r="X25" s="26"/>
      <c r="Y25" s="1"/>
      <c r="Z25" s="22" t="e">
        <f t="shared" si="1"/>
        <v>#DIV/0!</v>
      </c>
      <c r="AA25" s="1"/>
      <c r="AB25" s="1"/>
      <c r="AC25" s="22" t="e">
        <f t="shared" si="2"/>
        <v>#DIV/0!</v>
      </c>
      <c r="AD25" s="23" t="e">
        <f t="shared" si="3"/>
        <v>#DIV/0!</v>
      </c>
      <c r="AE25" s="4"/>
      <c r="AF25" s="2"/>
      <c r="AG25" s="46">
        <v>2</v>
      </c>
    </row>
    <row r="26" spans="1:33" ht="15" customHeight="1">
      <c r="A26" s="13">
        <v>19</v>
      </c>
      <c r="B26" s="40">
        <v>2601919181</v>
      </c>
      <c r="C26" s="35" t="s">
        <v>223</v>
      </c>
      <c r="D26" s="25">
        <v>0</v>
      </c>
      <c r="E26" s="25">
        <v>0</v>
      </c>
      <c r="F26" s="26">
        <v>0</v>
      </c>
      <c r="G26" s="2">
        <v>0</v>
      </c>
      <c r="H26" s="3">
        <v>0</v>
      </c>
      <c r="I26" s="44">
        <v>10</v>
      </c>
      <c r="J26" s="25">
        <v>0</v>
      </c>
      <c r="K26" s="3">
        <v>10</v>
      </c>
      <c r="L26" s="1"/>
      <c r="M26" s="2"/>
      <c r="N26" s="3"/>
      <c r="O26" s="44"/>
      <c r="P26" s="2"/>
      <c r="Q26" s="3"/>
      <c r="R26" s="44"/>
      <c r="S26" s="25"/>
      <c r="T26" s="43">
        <f t="shared" si="0"/>
        <v>1.25</v>
      </c>
      <c r="U26" s="2"/>
      <c r="V26" s="26"/>
      <c r="W26" s="3"/>
      <c r="X26" s="26"/>
      <c r="Y26" s="1"/>
      <c r="Z26" s="22" t="e">
        <f t="shared" si="1"/>
        <v>#DIV/0!</v>
      </c>
      <c r="AA26" s="1"/>
      <c r="AB26" s="1"/>
      <c r="AC26" s="22" t="e">
        <f t="shared" si="2"/>
        <v>#DIV/0!</v>
      </c>
      <c r="AD26" s="23" t="e">
        <f t="shared" si="3"/>
        <v>#DIV/0!</v>
      </c>
      <c r="AE26" s="4"/>
      <c r="AF26" s="2"/>
      <c r="AG26" s="46">
        <v>1.8</v>
      </c>
    </row>
    <row r="27" spans="1:33" ht="15" customHeight="1">
      <c r="A27" s="13">
        <v>20</v>
      </c>
      <c r="B27" s="40">
        <v>2601918150</v>
      </c>
      <c r="C27" s="35" t="s">
        <v>224</v>
      </c>
      <c r="D27" s="25" t="s">
        <v>31</v>
      </c>
      <c r="E27" s="25" t="s">
        <v>31</v>
      </c>
      <c r="F27" s="26">
        <v>0</v>
      </c>
      <c r="G27" s="2" t="s">
        <v>31</v>
      </c>
      <c r="H27" s="3" t="s">
        <v>31</v>
      </c>
      <c r="I27" s="44" t="s">
        <v>31</v>
      </c>
      <c r="J27" s="25" t="s">
        <v>31</v>
      </c>
      <c r="K27" s="3" t="s">
        <v>31</v>
      </c>
      <c r="L27" s="1"/>
      <c r="M27" s="2"/>
      <c r="N27" s="3"/>
      <c r="O27" s="44"/>
      <c r="P27" s="2"/>
      <c r="Q27" s="3"/>
      <c r="R27" s="44"/>
      <c r="S27" s="25"/>
      <c r="T27" s="43">
        <f t="shared" si="0"/>
        <v>0</v>
      </c>
      <c r="U27" s="2"/>
      <c r="V27" s="26"/>
      <c r="W27" s="3"/>
      <c r="X27" s="26"/>
      <c r="Y27" s="1"/>
      <c r="Z27" s="22" t="e">
        <f t="shared" si="1"/>
        <v>#DIV/0!</v>
      </c>
      <c r="AA27" s="1"/>
      <c r="AB27" s="1"/>
      <c r="AC27" s="22" t="e">
        <f t="shared" si="2"/>
        <v>#DIV/0!</v>
      </c>
      <c r="AD27" s="23" t="e">
        <f t="shared" si="3"/>
        <v>#DIV/0!</v>
      </c>
      <c r="AE27" s="4"/>
      <c r="AF27" s="2"/>
      <c r="AG27" s="46"/>
    </row>
    <row r="28" spans="1:33" ht="15" customHeight="1">
      <c r="A28" s="13">
        <v>21</v>
      </c>
      <c r="B28" s="40">
        <v>1701625646</v>
      </c>
      <c r="C28" s="35" t="s">
        <v>225</v>
      </c>
      <c r="D28" s="25">
        <v>10</v>
      </c>
      <c r="E28" s="25">
        <v>10</v>
      </c>
      <c r="F28" s="26">
        <v>0</v>
      </c>
      <c r="G28" s="2">
        <v>10</v>
      </c>
      <c r="H28" s="3">
        <v>10</v>
      </c>
      <c r="I28" s="44">
        <v>10</v>
      </c>
      <c r="J28" s="25">
        <v>10</v>
      </c>
      <c r="K28" s="3">
        <v>10</v>
      </c>
      <c r="L28" s="1"/>
      <c r="M28" s="2"/>
      <c r="N28" s="3"/>
      <c r="O28" s="44"/>
      <c r="P28" s="2"/>
      <c r="Q28" s="3"/>
      <c r="R28" s="44"/>
      <c r="S28" s="25"/>
      <c r="T28" s="43">
        <f t="shared" si="0"/>
        <v>4.375</v>
      </c>
      <c r="U28" s="2"/>
      <c r="V28" s="26"/>
      <c r="W28" s="3"/>
      <c r="X28" s="26"/>
      <c r="Y28" s="1"/>
      <c r="Z28" s="22" t="e">
        <f t="shared" si="1"/>
        <v>#DIV/0!</v>
      </c>
      <c r="AA28" s="1"/>
      <c r="AB28" s="1"/>
      <c r="AC28" s="22" t="e">
        <f t="shared" si="2"/>
        <v>#DIV/0!</v>
      </c>
      <c r="AD28" s="23" t="e">
        <f t="shared" si="3"/>
        <v>#DIV/0!</v>
      </c>
      <c r="AE28" s="4"/>
      <c r="AF28" s="2"/>
      <c r="AG28" s="46">
        <v>2</v>
      </c>
    </row>
    <row r="29" spans="1:33" ht="15" customHeight="1">
      <c r="A29" s="13">
        <v>22</v>
      </c>
      <c r="B29" s="40">
        <v>1801630073</v>
      </c>
      <c r="C29" s="35" t="s">
        <v>226</v>
      </c>
      <c r="D29" s="25">
        <v>10</v>
      </c>
      <c r="E29" s="25">
        <v>10</v>
      </c>
      <c r="F29" s="26">
        <v>10</v>
      </c>
      <c r="G29" s="2">
        <v>10</v>
      </c>
      <c r="H29" s="3">
        <v>10</v>
      </c>
      <c r="I29" s="44">
        <v>10</v>
      </c>
      <c r="J29" s="25">
        <v>10</v>
      </c>
      <c r="K29" s="3">
        <v>10</v>
      </c>
      <c r="L29" s="1"/>
      <c r="M29" s="2"/>
      <c r="N29" s="3"/>
      <c r="O29" s="44"/>
      <c r="P29" s="2"/>
      <c r="Q29" s="3"/>
      <c r="R29" s="44"/>
      <c r="S29" s="25"/>
      <c r="T29" s="43">
        <f t="shared" si="0"/>
        <v>5</v>
      </c>
      <c r="U29" s="2"/>
      <c r="V29" s="26"/>
      <c r="W29" s="3"/>
      <c r="X29" s="26"/>
      <c r="Y29" s="1"/>
      <c r="Z29" s="22" t="e">
        <f t="shared" si="1"/>
        <v>#DIV/0!</v>
      </c>
      <c r="AA29" s="1"/>
      <c r="AB29" s="1"/>
      <c r="AC29" s="22" t="e">
        <f t="shared" si="2"/>
        <v>#DIV/0!</v>
      </c>
      <c r="AD29" s="23" t="e">
        <f t="shared" si="3"/>
        <v>#DIV/0!</v>
      </c>
      <c r="AE29" s="4"/>
      <c r="AF29" s="2"/>
      <c r="AG29" s="46">
        <v>1.8</v>
      </c>
    </row>
    <row r="30" spans="1:33" ht="15" customHeight="1">
      <c r="A30" s="13">
        <v>23</v>
      </c>
      <c r="B30" s="40">
        <v>1601576124</v>
      </c>
      <c r="C30" s="35" t="s">
        <v>227</v>
      </c>
      <c r="D30" s="25">
        <v>5</v>
      </c>
      <c r="E30" s="25">
        <v>5</v>
      </c>
      <c r="F30" s="26">
        <v>0</v>
      </c>
      <c r="G30" s="2">
        <v>5</v>
      </c>
      <c r="H30" s="3">
        <v>5</v>
      </c>
      <c r="I30" s="44">
        <v>10</v>
      </c>
      <c r="J30" s="25">
        <v>10</v>
      </c>
      <c r="K30" s="3">
        <v>0</v>
      </c>
      <c r="L30" s="1"/>
      <c r="M30" s="2"/>
      <c r="N30" s="3"/>
      <c r="O30" s="44"/>
      <c r="P30" s="2"/>
      <c r="Q30" s="3"/>
      <c r="R30" s="44"/>
      <c r="S30" s="25"/>
      <c r="T30" s="43">
        <f t="shared" si="0"/>
        <v>2.5</v>
      </c>
      <c r="U30" s="2"/>
      <c r="V30" s="26"/>
      <c r="W30" s="3"/>
      <c r="X30" s="26"/>
      <c r="Y30" s="1"/>
      <c r="Z30" s="22" t="e">
        <f t="shared" si="1"/>
        <v>#DIV/0!</v>
      </c>
      <c r="AA30" s="1"/>
      <c r="AB30" s="1"/>
      <c r="AC30" s="22" t="e">
        <f t="shared" si="2"/>
        <v>#DIV/0!</v>
      </c>
      <c r="AD30" s="23" t="e">
        <f t="shared" si="3"/>
        <v>#DIV/0!</v>
      </c>
      <c r="AE30" s="4"/>
      <c r="AF30" s="2"/>
      <c r="AG30" s="46">
        <v>2</v>
      </c>
    </row>
    <row r="31" spans="1:33" ht="15" customHeight="1">
      <c r="A31" s="13"/>
      <c r="B31" s="40"/>
      <c r="C31" s="35" t="s">
        <v>228</v>
      </c>
      <c r="D31" s="25"/>
      <c r="E31" s="25"/>
      <c r="F31" s="26"/>
      <c r="G31" s="2"/>
      <c r="H31" s="3"/>
      <c r="I31" s="44" t="s">
        <v>229</v>
      </c>
      <c r="J31" s="25"/>
      <c r="K31" s="3"/>
      <c r="L31" s="1"/>
      <c r="M31" s="2"/>
      <c r="N31" s="3"/>
      <c r="O31" s="44"/>
      <c r="P31" s="2"/>
      <c r="Q31" s="3"/>
      <c r="R31" s="44"/>
      <c r="S31" s="25"/>
      <c r="T31" s="43"/>
      <c r="U31" s="2"/>
      <c r="V31" s="26"/>
      <c r="W31" s="3"/>
      <c r="X31" s="26"/>
      <c r="Y31" s="1"/>
      <c r="Z31" s="22"/>
      <c r="AA31" s="1"/>
      <c r="AB31" s="1"/>
      <c r="AC31" s="22"/>
      <c r="AD31" s="23"/>
      <c r="AE31" s="4"/>
      <c r="AF31" s="2"/>
      <c r="AG31" s="46"/>
    </row>
    <row r="32" spans="1:33" ht="15" customHeight="1">
      <c r="A32" s="13">
        <v>24</v>
      </c>
      <c r="B32" s="40">
        <v>1727994</v>
      </c>
      <c r="C32" s="35" t="s">
        <v>230</v>
      </c>
      <c r="D32" s="25">
        <v>10</v>
      </c>
      <c r="E32" s="25">
        <v>10</v>
      </c>
      <c r="F32" s="26">
        <v>10</v>
      </c>
      <c r="G32" s="2">
        <v>10</v>
      </c>
      <c r="H32" s="3">
        <v>10</v>
      </c>
      <c r="I32" s="44">
        <v>10</v>
      </c>
      <c r="J32" s="25">
        <v>10</v>
      </c>
      <c r="K32" s="3">
        <v>10</v>
      </c>
      <c r="L32" s="1"/>
      <c r="M32" s="2"/>
      <c r="N32" s="3"/>
      <c r="O32" s="44"/>
      <c r="P32" s="2"/>
      <c r="Q32" s="3"/>
      <c r="R32" s="44"/>
      <c r="S32" s="25"/>
      <c r="T32" s="43">
        <f t="shared" si="0"/>
        <v>5</v>
      </c>
      <c r="U32" s="2"/>
      <c r="V32" s="26"/>
      <c r="W32" s="3"/>
      <c r="X32" s="26"/>
      <c r="Y32" s="1"/>
      <c r="Z32" s="22" t="e">
        <f t="shared" si="1"/>
        <v>#DIV/0!</v>
      </c>
      <c r="AA32" s="1"/>
      <c r="AB32" s="1"/>
      <c r="AC32" s="22" t="e">
        <f t="shared" si="2"/>
        <v>#DIV/0!</v>
      </c>
      <c r="AD32" s="23" t="e">
        <f t="shared" si="3"/>
        <v>#DIV/0!</v>
      </c>
      <c r="AE32" s="4"/>
      <c r="AF32" s="2"/>
      <c r="AG32" s="46">
        <v>1</v>
      </c>
    </row>
    <row r="33" spans="1:33" ht="14.45">
      <c r="A33" s="13">
        <v>25</v>
      </c>
      <c r="B33" s="40">
        <v>2501902435</v>
      </c>
      <c r="C33" s="35" t="s">
        <v>231</v>
      </c>
      <c r="D33" s="25">
        <v>10</v>
      </c>
      <c r="E33" s="25">
        <v>10</v>
      </c>
      <c r="F33" s="26">
        <v>10</v>
      </c>
      <c r="G33" s="2">
        <v>10</v>
      </c>
      <c r="H33" s="3">
        <v>10</v>
      </c>
      <c r="I33" s="44">
        <v>10</v>
      </c>
      <c r="J33" s="25">
        <v>10</v>
      </c>
      <c r="K33" s="3">
        <v>0</v>
      </c>
      <c r="L33" s="1"/>
      <c r="M33" s="2"/>
      <c r="N33" s="3"/>
      <c r="O33" s="44"/>
      <c r="P33" s="2"/>
      <c r="Q33" s="3"/>
      <c r="R33" s="44"/>
      <c r="S33" s="25"/>
      <c r="T33" s="43">
        <f t="shared" si="0"/>
        <v>4.375</v>
      </c>
      <c r="U33" s="2"/>
      <c r="V33" s="26"/>
      <c r="W33" s="3"/>
      <c r="X33" s="26"/>
      <c r="Y33" s="1"/>
      <c r="Z33" s="22" t="e">
        <f t="shared" si="1"/>
        <v>#DIV/0!</v>
      </c>
      <c r="AA33" s="1"/>
      <c r="AB33" s="1"/>
      <c r="AC33" s="22" t="e">
        <f t="shared" si="2"/>
        <v>#DIV/0!</v>
      </c>
      <c r="AD33" s="23" t="e">
        <f t="shared" si="3"/>
        <v>#DIV/0!</v>
      </c>
      <c r="AE33" s="4"/>
      <c r="AF33" s="2"/>
      <c r="AG33" s="46">
        <v>1</v>
      </c>
    </row>
    <row r="34" spans="1:33" ht="14.45">
      <c r="A34" s="13">
        <v>26</v>
      </c>
      <c r="B34" s="40">
        <v>1727993</v>
      </c>
      <c r="C34" s="35" t="s">
        <v>232</v>
      </c>
      <c r="D34" s="25">
        <v>10</v>
      </c>
      <c r="E34" s="25">
        <v>10</v>
      </c>
      <c r="F34" s="26">
        <v>10</v>
      </c>
      <c r="G34" s="2">
        <v>10</v>
      </c>
      <c r="H34" s="3">
        <v>10</v>
      </c>
      <c r="I34" s="44">
        <v>10</v>
      </c>
      <c r="J34" s="25">
        <v>10</v>
      </c>
      <c r="K34" s="3">
        <v>10</v>
      </c>
      <c r="L34" s="1"/>
      <c r="M34" s="2"/>
      <c r="N34" s="3"/>
      <c r="O34" s="44"/>
      <c r="P34" s="2"/>
      <c r="Q34" s="3"/>
      <c r="R34" s="44"/>
      <c r="S34" s="25"/>
      <c r="T34" s="43">
        <f t="shared" si="0"/>
        <v>5</v>
      </c>
      <c r="U34" s="2"/>
      <c r="V34" s="26"/>
      <c r="W34" s="3"/>
      <c r="X34" s="26"/>
      <c r="Y34" s="1"/>
      <c r="Z34" s="22" t="e">
        <f t="shared" si="1"/>
        <v>#DIV/0!</v>
      </c>
      <c r="AA34" s="1"/>
      <c r="AB34" s="1"/>
      <c r="AC34" s="22" t="e">
        <f t="shared" si="2"/>
        <v>#DIV/0!</v>
      </c>
      <c r="AD34" s="23" t="e">
        <f t="shared" si="3"/>
        <v>#DIV/0!</v>
      </c>
      <c r="AE34" s="4"/>
      <c r="AF34" s="2"/>
      <c r="AG34" s="46">
        <v>1.4</v>
      </c>
    </row>
    <row r="35" spans="1:33" ht="15" customHeight="1">
      <c r="A35" s="13">
        <v>27</v>
      </c>
      <c r="B35" s="40">
        <v>1727936</v>
      </c>
      <c r="C35" s="35" t="s">
        <v>233</v>
      </c>
      <c r="D35" s="25">
        <v>10</v>
      </c>
      <c r="E35" s="25">
        <v>10</v>
      </c>
      <c r="F35" s="26">
        <v>10</v>
      </c>
      <c r="G35" s="2">
        <v>10</v>
      </c>
      <c r="H35" s="3">
        <v>10</v>
      </c>
      <c r="I35" s="44">
        <v>10</v>
      </c>
      <c r="J35" s="25"/>
      <c r="K35" s="3"/>
      <c r="L35" s="1"/>
      <c r="M35" s="2"/>
      <c r="N35" s="3"/>
      <c r="O35" s="44"/>
      <c r="P35" s="2"/>
      <c r="Q35" s="3"/>
      <c r="R35" s="44"/>
      <c r="S35" s="25"/>
      <c r="T35" s="43">
        <f t="shared" si="0"/>
        <v>5</v>
      </c>
      <c r="U35" s="2"/>
      <c r="V35" s="26"/>
      <c r="W35" s="3"/>
      <c r="X35" s="26"/>
      <c r="Y35" s="1"/>
      <c r="Z35" s="22" t="e">
        <f t="shared" si="1"/>
        <v>#DIV/0!</v>
      </c>
      <c r="AA35" s="1"/>
      <c r="AB35" s="1"/>
      <c r="AC35" s="22" t="e">
        <f t="shared" si="2"/>
        <v>#DIV/0!</v>
      </c>
      <c r="AD35" s="23" t="e">
        <f t="shared" si="3"/>
        <v>#DIV/0!</v>
      </c>
      <c r="AE35" s="4"/>
      <c r="AF35" s="2"/>
      <c r="AG35" s="46">
        <v>0.8</v>
      </c>
    </row>
    <row r="36" spans="1:33" ht="14.45">
      <c r="A36" s="17"/>
      <c r="B36" s="41"/>
    </row>
    <row r="37" spans="1:33" ht="14.45">
      <c r="A37" s="17"/>
      <c r="B37" s="41"/>
    </row>
  </sheetData>
  <sortState xmlns:xlrd2="http://schemas.microsoft.com/office/spreadsheetml/2017/richdata2" ref="C8:C43">
    <sortCondition ref="C8:C43"/>
  </sortState>
  <mergeCells count="35">
    <mergeCell ref="D1:AD2"/>
    <mergeCell ref="AE1:AF2"/>
    <mergeCell ref="D3:AD3"/>
    <mergeCell ref="AE3:AE7"/>
    <mergeCell ref="AF3:AF7"/>
    <mergeCell ref="D4:T4"/>
    <mergeCell ref="U4:Z4"/>
    <mergeCell ref="AA4:AC4"/>
    <mergeCell ref="AD4:AD7"/>
    <mergeCell ref="Y5:Y7"/>
    <mergeCell ref="Z5:Z7"/>
    <mergeCell ref="AA5:AA7"/>
    <mergeCell ref="AB5:AB7"/>
    <mergeCell ref="AC5:AC7"/>
    <mergeCell ref="G5:G7"/>
    <mergeCell ref="H5:H7"/>
    <mergeCell ref="X5:X7"/>
    <mergeCell ref="T5:T7"/>
    <mergeCell ref="W5:W7"/>
    <mergeCell ref="U5:U7"/>
    <mergeCell ref="V5:V7"/>
    <mergeCell ref="D5:D7"/>
    <mergeCell ref="K5:K7"/>
    <mergeCell ref="S5:S7"/>
    <mergeCell ref="P5:P7"/>
    <mergeCell ref="Q5:Q7"/>
    <mergeCell ref="R5:R7"/>
    <mergeCell ref="E5:E7"/>
    <mergeCell ref="J5:J7"/>
    <mergeCell ref="F5:F7"/>
    <mergeCell ref="I5:I7"/>
    <mergeCell ref="L5:L7"/>
    <mergeCell ref="M5:M7"/>
    <mergeCell ref="N5:N7"/>
    <mergeCell ref="O5:O7"/>
  </mergeCells>
  <conditionalFormatting sqref="D8:L35 P8:AF35">
    <cfRule type="cellIs" dxfId="1" priority="2" operator="lessThan">
      <formula>7</formula>
    </cfRule>
  </conditionalFormatting>
  <conditionalFormatting sqref="M8:O35">
    <cfRule type="cellIs" dxfId="0" priority="1" operator="lessThan">
      <formula>7</formula>
    </cfRule>
  </conditionalFormatting>
  <pageMargins left="0.25" right="0.25" top="0.75" bottom="0.75" header="0.3" footer="0.3"/>
  <pageSetup paperSize="9" scale="4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</dc:creator>
  <cp:keywords/>
  <dc:description/>
  <cp:lastModifiedBy>Adriano Inácio de Matos</cp:lastModifiedBy>
  <cp:revision/>
  <dcterms:created xsi:type="dcterms:W3CDTF">2020-06-14T21:25:44Z</dcterms:created>
  <dcterms:modified xsi:type="dcterms:W3CDTF">2026-02-11T13:17:30Z</dcterms:modified>
  <cp:category/>
  <cp:contentStatus/>
</cp:coreProperties>
</file>